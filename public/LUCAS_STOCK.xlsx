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P\files\stock\public\"/>
    </mc:Choice>
  </mc:AlternateContent>
  <xr:revisionPtr revIDLastSave="0" documentId="13_ncr:1_{7AB75576-04E1-4396-B22D-14413B7D46A7}" xr6:coauthVersionLast="47" xr6:coauthVersionMax="47" xr10:uidLastSave="{00000000-0000-0000-0000-000000000000}"/>
  <bookViews>
    <workbookView xWindow="-120" yWindow="-120" windowWidth="15600" windowHeight="11160" tabRatio="717" firstSheet="9" activeTab="12" xr2:uid="{00000000-000D-0000-FFFF-FFFF00000000}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0" hidden="1">'LUCAS AUTO ELECTRIC'!$A$1:$O$451</definedName>
    <definedName name="_xlnm._FilterDatabase" localSheetId="25" hidden="1">NBC!$A$1:$G$1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NBC!$A$1:$E$283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 l="1"/>
  <c r="H336" i="13" l="1"/>
  <c r="H48" i="26"/>
  <c r="H65" i="26"/>
  <c r="H66" i="26"/>
  <c r="H67" i="26"/>
  <c r="H70" i="26"/>
  <c r="H71" i="26"/>
  <c r="H72" i="26"/>
  <c r="H73" i="26"/>
  <c r="H74" i="26"/>
  <c r="H75" i="26"/>
  <c r="H6" i="26"/>
  <c r="H7" i="26"/>
  <c r="H8" i="26"/>
  <c r="H9" i="26"/>
  <c r="H10" i="26"/>
  <c r="H12" i="26"/>
  <c r="H13" i="26"/>
  <c r="H14" i="26"/>
  <c r="H15" i="26"/>
  <c r="H16" i="26"/>
  <c r="H17" i="26"/>
  <c r="H19" i="26"/>
  <c r="H20" i="26"/>
  <c r="H21" i="26"/>
  <c r="H22" i="26"/>
  <c r="H23" i="26"/>
  <c r="H24" i="26"/>
  <c r="H25" i="26"/>
  <c r="H28" i="26"/>
  <c r="H29" i="26"/>
  <c r="H30" i="26"/>
  <c r="H31" i="26"/>
  <c r="H32" i="26"/>
  <c r="H34" i="26"/>
  <c r="H35" i="26"/>
  <c r="H37" i="26"/>
  <c r="H39" i="26"/>
  <c r="H41" i="26"/>
  <c r="H44" i="26"/>
  <c r="H45" i="26"/>
  <c r="H46" i="26"/>
  <c r="H47" i="26"/>
  <c r="H51" i="26"/>
  <c r="H52" i="26"/>
  <c r="H53" i="26"/>
  <c r="H54" i="26"/>
  <c r="H55" i="26"/>
  <c r="H56" i="26"/>
  <c r="H57" i="26"/>
  <c r="H58" i="26"/>
  <c r="H60" i="26"/>
  <c r="H61" i="26"/>
  <c r="H62" i="26"/>
  <c r="H63" i="26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29" i="22"/>
  <c r="H128" i="22"/>
  <c r="H127" i="22"/>
  <c r="H126" i="22"/>
  <c r="H125" i="22"/>
  <c r="H124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2" i="22"/>
  <c r="H91" i="22"/>
  <c r="H88" i="22"/>
  <c r="H87" i="22"/>
  <c r="H86" i="22"/>
  <c r="H85" i="22"/>
  <c r="H84" i="22"/>
  <c r="H83" i="22"/>
  <c r="H78" i="26" l="1"/>
  <c r="H82" i="22"/>
  <c r="H81" i="22"/>
  <c r="H185" i="22" l="1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0" i="22"/>
  <c r="H39" i="22"/>
  <c r="H38" i="22"/>
  <c r="H37" i="22"/>
  <c r="H36" i="22"/>
  <c r="H35" i="22"/>
  <c r="H34" i="22"/>
  <c r="H33" i="22"/>
  <c r="H28" i="22"/>
  <c r="H27" i="22"/>
  <c r="H26" i="22"/>
  <c r="H25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M140" i="17"/>
  <c r="H104" i="17"/>
  <c r="H103" i="17"/>
  <c r="H102" i="17"/>
  <c r="H101" i="17"/>
  <c r="K100" i="17" s="1"/>
  <c r="H100" i="17"/>
  <c r="H99" i="17"/>
  <c r="H98" i="17"/>
  <c r="K97" i="17" s="1"/>
  <c r="H97" i="17"/>
  <c r="H86" i="17"/>
  <c r="H85" i="17"/>
  <c r="H84" i="17"/>
  <c r="H83" i="17"/>
  <c r="H82" i="17"/>
  <c r="H81" i="17"/>
  <c r="H80" i="17"/>
  <c r="H79" i="17"/>
  <c r="H78" i="17"/>
  <c r="H77" i="17"/>
  <c r="H76" i="17"/>
  <c r="K75" i="17" s="1"/>
  <c r="H75" i="17"/>
  <c r="H74" i="17"/>
  <c r="H63" i="17"/>
  <c r="H62" i="17"/>
  <c r="H61" i="17"/>
  <c r="H60" i="17"/>
  <c r="H59" i="17"/>
  <c r="K58" i="17" s="1"/>
  <c r="H58" i="17"/>
  <c r="H57" i="17"/>
  <c r="H56" i="17"/>
  <c r="H55" i="17"/>
  <c r="H54" i="17"/>
  <c r="K53" i="17" s="1"/>
  <c r="H53" i="17"/>
  <c r="H52" i="17"/>
  <c r="H51" i="17"/>
  <c r="K50" i="17" s="1"/>
  <c r="H50" i="17"/>
  <c r="H49" i="17"/>
  <c r="H48" i="17"/>
  <c r="H47" i="17"/>
  <c r="K46" i="17" s="1"/>
  <c r="H46" i="17"/>
  <c r="H45" i="17"/>
  <c r="K44" i="17" s="1"/>
  <c r="H44" i="17"/>
  <c r="H43" i="17"/>
  <c r="H32" i="17"/>
  <c r="H31" i="17"/>
  <c r="H30" i="17"/>
  <c r="H10" i="17"/>
  <c r="H9" i="17"/>
  <c r="H8" i="17"/>
  <c r="H7" i="17"/>
  <c r="H6" i="17"/>
  <c r="H5" i="17"/>
  <c r="H4" i="17"/>
  <c r="H3" i="17"/>
  <c r="H2" i="17"/>
  <c r="G524" i="13"/>
  <c r="G428" i="13"/>
  <c r="G534" i="13"/>
  <c r="G596" i="13"/>
  <c r="G598" i="13"/>
  <c r="G309" i="13"/>
  <c r="G131" i="13"/>
  <c r="G304" i="13"/>
  <c r="G155" i="13"/>
  <c r="G154" i="13"/>
  <c r="G76" i="13"/>
  <c r="G444" i="13"/>
  <c r="G560" i="13"/>
  <c r="G526" i="13"/>
  <c r="G545" i="13"/>
  <c r="G385" i="13"/>
  <c r="G179" i="13"/>
  <c r="G207" i="13"/>
  <c r="E39" i="9"/>
  <c r="K61" i="17" l="1"/>
  <c r="K52" i="17"/>
  <c r="K74" i="17"/>
  <c r="K48" i="17"/>
  <c r="K76" i="17"/>
  <c r="J13" i="5"/>
  <c r="K51" i="17"/>
  <c r="K43" i="17"/>
  <c r="K77" i="17"/>
  <c r="K63" i="17"/>
  <c r="K56" i="17"/>
  <c r="K4" i="17"/>
  <c r="K101" i="17"/>
  <c r="H72" i="22"/>
  <c r="I13" i="5"/>
  <c r="H13" i="5"/>
  <c r="G13" i="5"/>
  <c r="J12" i="5" s="1"/>
  <c r="I12" i="5"/>
  <c r="H12" i="5"/>
  <c r="G12" i="5"/>
  <c r="J11" i="5" s="1"/>
  <c r="I11" i="5"/>
  <c r="H11" i="5"/>
  <c r="G11" i="5"/>
  <c r="J10" i="5" s="1"/>
  <c r="I10" i="5"/>
  <c r="H10" i="5"/>
  <c r="G10" i="5"/>
  <c r="J9" i="5" s="1"/>
  <c r="I9" i="5"/>
  <c r="H9" i="5"/>
  <c r="G9" i="5"/>
  <c r="J8" i="5" s="1"/>
  <c r="I8" i="5"/>
  <c r="H8" i="5"/>
  <c r="G8" i="5"/>
  <c r="J7" i="5" s="1"/>
  <c r="I7" i="5"/>
  <c r="H7" i="5"/>
  <c r="G7" i="5"/>
  <c r="J6" i="5" s="1"/>
  <c r="I6" i="5"/>
  <c r="H6" i="5"/>
  <c r="G6" i="5"/>
  <c r="J5" i="5" s="1"/>
  <c r="I5" i="5"/>
  <c r="H5" i="5"/>
  <c r="G5" i="5"/>
  <c r="J4" i="5" s="1"/>
  <c r="I4" i="5"/>
  <c r="I3" i="5"/>
  <c r="J3" i="5" l="1"/>
  <c r="H3" i="5"/>
  <c r="G3" i="5"/>
  <c r="J2" i="5" s="1"/>
  <c r="I2" i="5"/>
  <c r="H2" i="5"/>
  <c r="G2" i="5"/>
  <c r="L97" i="3" l="1"/>
  <c r="I64" i="3"/>
  <c r="H64" i="3"/>
  <c r="I63" i="3"/>
  <c r="H63" i="3"/>
  <c r="I61" i="3"/>
  <c r="H61" i="3"/>
  <c r="I60" i="3"/>
  <c r="H60" i="3"/>
  <c r="I58" i="3"/>
  <c r="H58" i="3"/>
  <c r="I57" i="3"/>
  <c r="H57" i="3"/>
  <c r="I56" i="3"/>
  <c r="H56" i="3"/>
  <c r="I54" i="3"/>
  <c r="H54" i="3"/>
  <c r="I53" i="3"/>
  <c r="H53" i="3"/>
  <c r="I52" i="3"/>
  <c r="H52" i="3"/>
  <c r="I51" i="3"/>
  <c r="H51" i="3"/>
  <c r="I50" i="3"/>
  <c r="H50" i="3"/>
  <c r="I49" i="3"/>
  <c r="H49" i="3" l="1"/>
  <c r="I48" i="3"/>
  <c r="H48" i="3" l="1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H42" i="4" l="1"/>
  <c r="H41" i="4"/>
  <c r="H40" i="4"/>
  <c r="H39" i="4"/>
  <c r="H35" i="4"/>
  <c r="H34" i="4"/>
  <c r="H31" i="4"/>
  <c r="H30" i="4"/>
  <c r="H29" i="4"/>
  <c r="H25" i="4"/>
  <c r="H22" i="4"/>
  <c r="H21" i="4"/>
  <c r="H20" i="4"/>
  <c r="H18" i="4"/>
  <c r="H16" i="4"/>
  <c r="H15" i="4"/>
  <c r="H14" i="4"/>
  <c r="H13" i="4"/>
  <c r="H12" i="4"/>
  <c r="H10" i="4"/>
  <c r="H9" i="4"/>
  <c r="H8" i="4"/>
  <c r="H6" i="4"/>
  <c r="H5" i="4"/>
  <c r="H4" i="4"/>
  <c r="H3" i="4"/>
  <c r="H2" i="4"/>
  <c r="I64" i="2"/>
  <c r="H64" i="2"/>
  <c r="I63" i="2"/>
  <c r="H63" i="2" l="1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H157" i="1"/>
  <c r="H317" i="1"/>
  <c r="H418" i="1"/>
  <c r="H383" i="1"/>
  <c r="H372" i="1"/>
  <c r="H353" i="1"/>
  <c r="H316" i="1"/>
  <c r="H388" i="1"/>
  <c r="H46" i="1"/>
  <c r="H151" i="1"/>
  <c r="H227" i="1"/>
  <c r="H150" i="1"/>
  <c r="H45" i="1"/>
  <c r="H410" i="1" l="1"/>
  <c r="H221" i="1"/>
  <c r="H44" i="1"/>
  <c r="H43" i="1"/>
  <c r="H149" i="1"/>
  <c r="H226" i="1"/>
  <c r="H42" i="1"/>
  <c r="H41" i="1" l="1"/>
  <c r="H40" i="1"/>
  <c r="H148" i="1" l="1"/>
  <c r="H39" i="1"/>
  <c r="H386" i="1"/>
  <c r="H313" i="1" l="1"/>
  <c r="H38" i="1"/>
  <c r="H380" i="1"/>
  <c r="H256" i="1" l="1"/>
  <c r="H255" i="1"/>
  <c r="H37" i="1"/>
  <c r="H147" i="1"/>
  <c r="H367" i="1"/>
  <c r="H254" i="1"/>
  <c r="H146" i="1"/>
  <c r="H402" i="1"/>
  <c r="H36" i="1" l="1"/>
  <c r="H145" i="1" l="1"/>
  <c r="H253" i="1" l="1"/>
  <c r="H35" i="1" l="1"/>
  <c r="H252" i="1"/>
  <c r="H351" i="1"/>
  <c r="H220" i="1"/>
  <c r="H251" i="1"/>
  <c r="H144" i="1"/>
  <c r="H258" i="1"/>
  <c r="H312" i="1"/>
  <c r="H143" i="1"/>
  <c r="H142" i="1" l="1"/>
  <c r="H382" i="1"/>
  <c r="H141" i="1"/>
  <c r="H225" i="1"/>
  <c r="H154" i="1"/>
  <c r="H155" i="1"/>
  <c r="H250" i="1"/>
  <c r="H224" i="1"/>
  <c r="H34" i="1"/>
  <c r="H371" i="1"/>
  <c r="H350" i="1"/>
  <c r="H249" i="1"/>
  <c r="H223" i="1"/>
  <c r="H248" i="1"/>
  <c r="H33" i="1"/>
  <c r="H247" i="1"/>
  <c r="H32" i="1"/>
  <c r="H140" i="1"/>
  <c r="H422" i="1"/>
  <c r="H349" i="1"/>
  <c r="H153" i="1"/>
  <c r="H348" i="1"/>
  <c r="H403" i="1"/>
  <c r="H139" i="1"/>
  <c r="H138" i="1"/>
  <c r="H31" i="1"/>
  <c r="H137" i="1"/>
  <c r="H401" i="1"/>
  <c r="H30" i="1"/>
  <c r="H136" i="1"/>
  <c r="H347" i="1"/>
  <c r="H222" i="1"/>
  <c r="H393" i="1"/>
  <c r="H311" i="1"/>
  <c r="H29" i="1"/>
  <c r="H334" i="1"/>
  <c r="H135" i="1"/>
  <c r="H134" i="1"/>
  <c r="H133" i="1"/>
  <c r="H310" i="1"/>
  <c r="H28" i="1"/>
  <c r="H132" i="1"/>
  <c r="H131" i="1"/>
  <c r="H130" i="1"/>
  <c r="H246" i="1"/>
  <c r="H129" i="1"/>
  <c r="H245" i="1"/>
  <c r="H309" i="1"/>
  <c r="H128" i="1"/>
  <c r="H400" i="1"/>
  <c r="H298" i="1"/>
  <c r="H127" i="1"/>
  <c r="H27" i="1"/>
  <c r="H244" i="1"/>
  <c r="H243" i="1"/>
  <c r="H441" i="1"/>
  <c r="H26" i="1"/>
  <c r="H346" i="1"/>
  <c r="H345" i="1"/>
  <c r="H25" i="1"/>
  <c r="H387" i="1"/>
  <c r="H24" i="1"/>
  <c r="H126" i="1"/>
  <c r="H379" i="1"/>
  <c r="H23" i="1"/>
  <c r="H48" i="1"/>
  <c r="H381" i="1"/>
  <c r="H442" i="1"/>
  <c r="H308" i="1"/>
  <c r="H307" i="1"/>
  <c r="H242" i="1"/>
  <c r="H241" i="1"/>
  <c r="H333" i="1"/>
  <c r="H406" i="1"/>
  <c r="H22" i="1"/>
  <c r="H306" i="1"/>
  <c r="H125" i="1"/>
  <c r="H21" i="1"/>
  <c r="H389" i="1"/>
  <c r="H20" i="1"/>
  <c r="H417" i="1"/>
  <c r="H352" i="1"/>
  <c r="H444" i="1"/>
  <c r="H344" i="1"/>
  <c r="H305" i="1"/>
  <c r="H304" i="1"/>
  <c r="H366" i="1"/>
  <c r="H19" i="1"/>
  <c r="H18" i="1"/>
  <c r="H257" i="1"/>
  <c r="H378" i="1"/>
  <c r="H240" i="1"/>
  <c r="H399" i="1"/>
  <c r="H392" i="1"/>
  <c r="H408" i="1"/>
  <c r="H416" i="1"/>
  <c r="H415" i="1"/>
  <c r="H124" i="1"/>
  <c r="H17" i="1"/>
  <c r="H112" i="1"/>
  <c r="H370" i="1"/>
  <c r="H16" i="1"/>
  <c r="H219" i="1"/>
  <c r="H239" i="1"/>
  <c r="H337" i="1"/>
  <c r="H15" i="1"/>
  <c r="H315" i="1"/>
  <c r="H156" i="1"/>
  <c r="H238" i="1"/>
  <c r="H343" i="1"/>
  <c r="H300" i="1"/>
  <c r="H123" i="1"/>
  <c r="H122" i="1"/>
  <c r="H438" i="1"/>
  <c r="H237" i="1"/>
  <c r="H236" i="1"/>
  <c r="H398" i="1"/>
  <c r="H303" i="1" l="1"/>
  <c r="H235" i="1"/>
  <c r="H427" i="1"/>
  <c r="H234" i="1"/>
  <c r="H233" i="1"/>
  <c r="H14" i="1"/>
  <c r="H218" i="1"/>
  <c r="H396" i="1"/>
  <c r="H407" i="1"/>
  <c r="H49" i="1"/>
  <c r="H332" i="1"/>
  <c r="H342" i="1"/>
  <c r="H336" i="1"/>
  <c r="H414" i="1"/>
  <c r="H369" i="1"/>
  <c r="H341" i="1"/>
  <c r="H426" i="1"/>
  <c r="H232" i="1"/>
  <c r="H50" i="1"/>
  <c r="H425" i="1"/>
  <c r="H13" i="1"/>
  <c r="H121" i="1"/>
  <c r="H120" i="1"/>
  <c r="H231" i="1"/>
  <c r="H12" i="1"/>
  <c r="H409" i="1"/>
  <c r="H377" i="1"/>
  <c r="H340" i="1"/>
  <c r="H445" i="1"/>
  <c r="H302" i="1"/>
  <c r="H11" i="1"/>
  <c r="H119" i="1"/>
  <c r="H428" i="1"/>
  <c r="H314" i="1"/>
  <c r="H405" i="1"/>
  <c r="H301" i="1"/>
  <c r="H335" i="1"/>
  <c r="H397" i="1"/>
  <c r="H230" i="1"/>
  <c r="H404" i="1"/>
  <c r="H437" i="1"/>
  <c r="H47" i="1"/>
  <c r="H440" i="1"/>
  <c r="H339" i="1"/>
  <c r="H118" i="1"/>
  <c r="H338" i="1"/>
  <c r="H368" i="1"/>
  <c r="H299" i="1"/>
  <c r="H117" i="1"/>
  <c r="H394" i="1"/>
  <c r="H116" i="1"/>
  <c r="H115" i="1"/>
  <c r="H114" i="1"/>
  <c r="H430" i="1"/>
  <c r="H10" i="1"/>
  <c r="H229" i="1"/>
  <c r="H228" i="1"/>
  <c r="H113" i="1"/>
  <c r="H297" i="1"/>
  <c r="H439" i="1"/>
  <c r="H9" i="1"/>
  <c r="H8" i="1"/>
  <c r="H433" i="1"/>
  <c r="H7" i="1"/>
  <c r="H6" i="1"/>
  <c r="H5" i="1"/>
  <c r="H395" i="1"/>
  <c r="H4" i="1" l="1"/>
  <c r="H152" i="1" l="1"/>
  <c r="H3" i="1" l="1"/>
</calcChain>
</file>

<file path=xl/sharedStrings.xml><?xml version="1.0" encoding="utf-8"?>
<sst xmlns="http://schemas.openxmlformats.org/spreadsheetml/2006/main" count="5528" uniqueCount="4657">
  <si>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</si>
  <si>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</si>
  <si>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</si>
  <si>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</si>
  <si>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</si>
  <si>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</si>
  <si>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</si>
  <si>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</si>
  <si>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</si>
  <si>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</si>
  <si>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</si>
  <si>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</si>
  <si>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</si>
  <si>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</si>
  <si>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</si>
  <si>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</si>
  <si>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</si>
  <si>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</si>
  <si>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</si>
  <si>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</si>
  <si>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</si>
  <si>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</si>
  <si>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</si>
  <si>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</si>
  <si>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</si>
  <si>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</si>
  <si>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</si>
  <si>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</si>
  <si>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</si>
  <si>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</si>
  <si>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</si>
  <si>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</si>
  <si>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</si>
  <si>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</si>
  <si>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</si>
  <si>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</si>
  <si>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</si>
  <si>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</si>
  <si>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</si>
  <si>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</si>
  <si>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</si>
  <si>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</si>
  <si>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</si>
  <si>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</si>
  <si>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</si>
  <si>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</si>
  <si>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</si>
  <si>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</si>
  <si>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</si>
  <si>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</si>
  <si>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</si>
  <si>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</si>
  <si>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</si>
  <si>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</si>
  <si>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</si>
  <si>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</si>
  <si>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</si>
  <si>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</si>
  <si>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</si>
  <si>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</si>
  <si>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</si>
  <si>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</si>
  <si>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</si>
  <si>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</si>
  <si>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</si>
  <si>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</si>
  <si>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</si>
  <si>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</si>
  <si>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</si>
  <si>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</si>
  <si>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</si>
  <si>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</si>
  <si>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</si>
  <si>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</si>
  <si>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</si>
  <si>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</si>
  <si>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</si>
  <si>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</si>
  <si>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</si>
  <si>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</si>
  <si>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</si>
  <si>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</si>
  <si>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</si>
  <si>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</si>
  <si>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</si>
  <si>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</si>
  <si>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</si>
  <si>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</si>
  <si>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</si>
  <si>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</si>
  <si>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</si>
  <si>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</si>
  <si>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</si>
  <si>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</si>
  <si>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</si>
  <si>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</si>
  <si>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</si>
  <si>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</si>
  <si>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</si>
  <si>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</si>
  <si>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</si>
  <si>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</si>
  <si>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</si>
  <si>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</si>
  <si>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</si>
  <si>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</si>
  <si>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</si>
  <si>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</si>
  <si>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</si>
  <si>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</si>
  <si>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</si>
  <si>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</si>
  <si>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</si>
  <si>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</si>
  <si>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</si>
  <si>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</si>
  <si>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</si>
  <si>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</si>
  <si>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</si>
  <si>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</si>
  <si>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</si>
  <si>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</si>
  <si>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</si>
  <si>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</si>
  <si>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</si>
  <si>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</si>
  <si>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</si>
  <si>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</si>
  <si>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</si>
  <si>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</si>
  <si>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</si>
  <si>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</si>
  <si>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</si>
  <si>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</si>
  <si>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</si>
  <si>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</si>
  <si>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</si>
  <si>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</si>
  <si>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</si>
  <si>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</si>
  <si>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</si>
  <si>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</si>
  <si>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</si>
  <si>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</si>
  <si>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</si>
  <si>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</si>
  <si>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</si>
  <si>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</si>
  <si>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</si>
  <si>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</si>
  <si>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</si>
  <si>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</si>
  <si>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</si>
  <si>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</si>
  <si>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</si>
  <si>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</si>
  <si>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</si>
  <si>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</si>
  <si>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</si>
  <si>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</si>
  <si>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</si>
  <si>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</si>
  <si>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</si>
  <si>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</si>
  <si>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</si>
  <si>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</si>
  <si>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</si>
  <si>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</si>
  <si>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</si>
  <si>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</si>
  <si>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</si>
  <si>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</si>
  <si>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</si>
  <si>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</si>
  <si>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</si>
  <si>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</si>
  <si>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</si>
  <si>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</si>
  <si>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</si>
  <si>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</si>
  <si>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</si>
  <si>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</si>
  <si>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</si>
  <si>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</si>
  <si>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</si>
  <si>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</si>
  <si>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</si>
  <si>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</si>
  <si>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</si>
  <si>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</si>
  <si>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</si>
  <si>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</si>
  <si>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</si>
  <si>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</si>
  <si>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</si>
  <si>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</si>
  <si>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</si>
  <si>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</si>
  <si>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</si>
  <si>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</si>
  <si>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</si>
  <si>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</si>
  <si>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</si>
  <si>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</si>
  <si>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</si>
  <si>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</si>
  <si>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</si>
  <si>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</si>
  <si>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</si>
  <si>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</si>
  <si>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</si>
  <si>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</si>
  <si>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</si>
  <si>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</si>
  <si>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</si>
  <si>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</si>
  <si>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</si>
  <si>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</si>
  <si>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</si>
  <si>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</si>
  <si>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</si>
  <si>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</si>
  <si>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</si>
  <si>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</si>
  <si>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</si>
  <si>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</si>
  <si>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</si>
  <si>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</si>
  <si>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</si>
  <si>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</si>
  <si>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</si>
  <si>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</si>
  <si>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</si>
  <si>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</si>
  <si>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</si>
  <si>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</si>
  <si>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</si>
  <si>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</si>
  <si>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</si>
  <si>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</si>
  <si>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</si>
  <si>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</si>
  <si>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</si>
  <si>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</si>
  <si>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</si>
  <si>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</si>
  <si>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</si>
  <si>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</si>
  <si>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</si>
  <si>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</si>
  <si>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</si>
  <si>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</si>
  <si>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</si>
  <si>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</si>
  <si>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</si>
  <si>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</si>
  <si>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</si>
  <si>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</si>
  <si>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</si>
  <si>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</si>
  <si>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</si>
  <si>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</si>
  <si>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</si>
  <si>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</si>
  <si>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</si>
  <si>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</si>
  <si>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</si>
  <si>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</si>
  <si>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</si>
  <si>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</si>
  <si>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</si>
  <si>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</si>
  <si>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</si>
  <si>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</si>
  <si>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</si>
  <si>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</si>
  <si>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</si>
  <si>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</si>
  <si>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</si>
  <si>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</si>
  <si>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</si>
  <si>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</si>
  <si>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</si>
  <si>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</si>
  <si>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</si>
  <si>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</si>
  <si>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</si>
  <si>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</si>
  <si>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</si>
  <si>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</si>
  <si>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</si>
  <si>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</si>
  <si>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</si>
  <si>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</si>
  <si>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</si>
  <si>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</si>
  <si>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</si>
  <si>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</si>
  <si>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</si>
  <si>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</si>
  <si>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</si>
  <si>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</si>
  <si>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</si>
  <si>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</si>
  <si>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</si>
  <si>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</si>
  <si>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</si>
  <si>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</si>
  <si>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</si>
  <si>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</si>
  <si>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</si>
  <si>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</si>
  <si>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</si>
  <si>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</si>
  <si>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</si>
  <si>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</si>
  <si>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</si>
  <si>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</si>
  <si>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</si>
  <si>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</si>
  <si>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</si>
  <si>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</si>
  <si>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</si>
  <si>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</si>
  <si>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</si>
  <si>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</si>
  <si>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</si>
  <si>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</si>
  <si>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</si>
  <si>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</si>
  <si>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</si>
  <si>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</si>
  <si>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</si>
  <si>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</si>
  <si>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</si>
  <si>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</si>
  <si>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</si>
  <si>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</si>
  <si>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</si>
  <si>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</si>
  <si>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</si>
  <si>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</si>
  <si>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</si>
  <si>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</si>
  <si>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</si>
  <si>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</si>
  <si>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</si>
  <si>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</si>
  <si>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</si>
  <si>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</si>
  <si>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</si>
  <si>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</si>
  <si>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</si>
  <si>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</si>
  <si>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</si>
  <si>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</si>
  <si>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</si>
  <si>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</si>
  <si>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</si>
  <si>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</si>
  <si>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</si>
  <si>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</si>
  <si>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</si>
  <si>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</si>
  <si>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</si>
  <si>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</si>
  <si>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</si>
  <si>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</si>
  <si>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</si>
  <si>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</si>
  <si>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</si>
  <si>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</si>
  <si>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</si>
  <si>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</si>
  <si>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</si>
  <si>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</si>
  <si>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</si>
  <si>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</si>
  <si>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</si>
  <si>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</si>
  <si>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</si>
  <si>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</si>
  <si>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</si>
  <si>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</si>
  <si>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</si>
  <si>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</si>
  <si>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</si>
  <si>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</si>
  <si>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</si>
  <si>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</si>
  <si>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</si>
  <si>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</si>
  <si>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</si>
  <si>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</si>
  <si>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</si>
  <si>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</si>
  <si>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</si>
  <si>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</si>
  <si>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</si>
  <si>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</si>
  <si>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</si>
  <si>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</si>
  <si>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</si>
  <si>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</si>
  <si>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</si>
  <si>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</si>
  <si>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</si>
  <si>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</si>
  <si>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</si>
  <si>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</si>
  <si>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</si>
  <si>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</si>
  <si>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</si>
  <si>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</si>
  <si>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</si>
  <si>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</si>
  <si>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</si>
  <si>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</si>
  <si>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</si>
  <si>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</si>
  <si>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</si>
  <si>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</si>
  <si>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</si>
  <si>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</si>
  <si>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</si>
  <si>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</si>
  <si>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</si>
  <si>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</si>
  <si>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</si>
  <si>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</si>
  <si>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</si>
  <si>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</si>
  <si>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</si>
  <si>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</si>
  <si>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</si>
  <si>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</si>
  <si>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</si>
  <si>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</si>
  <si>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</si>
  <si>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</si>
  <si>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</si>
  <si>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</si>
  <si>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</si>
  <si>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</si>
  <si>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</si>
  <si>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</si>
  <si>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</si>
  <si>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</si>
  <si>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</si>
  <si>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</si>
  <si>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</si>
  <si>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</si>
  <si>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</si>
  <si>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</si>
  <si>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</si>
  <si>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</si>
  <si>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</si>
  <si>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</si>
  <si>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</si>
  <si>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</si>
  <si>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</si>
  <si>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</si>
  <si>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</si>
  <si>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</si>
  <si>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</si>
  <si>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</si>
  <si>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</si>
  <si>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</si>
  <si>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</si>
  <si>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</si>
  <si>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</si>
  <si>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</si>
  <si>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</si>
  <si>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</si>
  <si>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</si>
  <si>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</si>
  <si>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</si>
  <si>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</si>
  <si>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</si>
  <si>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</si>
  <si>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</si>
  <si>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</si>
  <si>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</si>
  <si>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</si>
  <si>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</si>
  <si>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</si>
  <si>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</si>
  <si>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</si>
  <si>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</si>
  <si>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</si>
  <si>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</si>
  <si>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</si>
  <si>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</si>
  <si>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</si>
  <si>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</si>
  <si>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</si>
  <si>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</si>
  <si>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</si>
  <si>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</si>
  <si>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</si>
  <si>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</si>
  <si>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</si>
  <si>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</si>
  <si>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</si>
  <si>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</si>
  <si>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</si>
  <si>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</si>
  <si>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</si>
  <si>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</si>
  <si>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</si>
  <si>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</si>
  <si>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</si>
  <si>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</si>
  <si>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</si>
  <si>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</si>
  <si>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</si>
  <si>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</si>
  <si>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</si>
  <si>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</si>
  <si>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</si>
  <si>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</si>
  <si>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</si>
  <si>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</si>
  <si>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</si>
  <si>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</si>
  <si>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</si>
  <si>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</si>
  <si>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</si>
  <si>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</si>
  <si>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</si>
  <si>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</si>
  <si>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</si>
  <si>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</si>
  <si>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</si>
  <si>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</si>
  <si>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</si>
  <si>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</si>
  <si>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</si>
  <si>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</si>
  <si>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</si>
  <si>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</si>
  <si>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</si>
  <si>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</si>
  <si>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</si>
  <si>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</si>
  <si>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</si>
  <si>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</si>
  <si>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</si>
  <si>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</si>
  <si>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</si>
  <si>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</si>
  <si>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</si>
  <si>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</si>
  <si>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</si>
  <si>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</si>
  <si>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</si>
  <si>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</si>
  <si>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</si>
  <si>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</si>
  <si>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</si>
  <si>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</si>
  <si>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</si>
  <si>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</si>
  <si>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</si>
  <si>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</si>
  <si>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</si>
  <si>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</si>
  <si>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</si>
  <si>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</si>
  <si>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</si>
  <si>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</si>
  <si>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</si>
  <si>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</si>
  <si>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</si>
  <si>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</si>
  <si>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</si>
  <si>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</si>
  <si>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</si>
  <si>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</si>
  <si>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</si>
  <si>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</si>
  <si>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</si>
  <si>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</si>
  <si>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</si>
  <si>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</si>
  <si>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</si>
  <si>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</si>
  <si>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</si>
  <si>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</si>
  <si>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</si>
  <si>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</si>
  <si>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</si>
  <si>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</si>
  <si>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</si>
  <si>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</si>
  <si>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</si>
  <si>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</si>
  <si>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</si>
  <si>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</si>
  <si>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</si>
  <si>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</si>
  <si>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</si>
  <si>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</si>
  <si>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</si>
  <si>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</si>
  <si>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</si>
  <si>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</si>
  <si>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</si>
  <si>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</si>
  <si>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</si>
  <si>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</si>
  <si>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</si>
  <si>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</si>
  <si>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</si>
  <si>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</si>
  <si>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</si>
  <si>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</si>
  <si>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</si>
  <si>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</si>
  <si>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</si>
  <si>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</si>
  <si>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</si>
  <si>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</si>
  <si>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</si>
  <si>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</si>
  <si>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</si>
  <si>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</si>
  <si>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</si>
  <si>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</si>
  <si>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</si>
  <si>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</si>
  <si>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</si>
  <si>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</si>
  <si>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</si>
  <si>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</si>
  <si>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</si>
  <si>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</si>
  <si>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</si>
  <si>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</si>
  <si>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</si>
  <si>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</si>
  <si>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</si>
  <si>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</si>
  <si>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</si>
  <si>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</si>
  <si>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</si>
  <si>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</si>
  <si>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</si>
  <si>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</si>
  <si>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</si>
  <si>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</si>
  <si>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</si>
  <si>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</si>
  <si>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</si>
  <si>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</si>
  <si>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</si>
  <si>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</si>
  <si>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</si>
  <si>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</si>
  <si>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</si>
  <si>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</si>
  <si>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</si>
  <si>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</si>
  <si>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</si>
  <si>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</si>
  <si>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</si>
  <si>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</si>
  <si>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</si>
  <si>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</si>
  <si>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</si>
  <si>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</si>
  <si>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</si>
  <si>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</si>
  <si>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</si>
  <si>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</si>
  <si>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</si>
  <si>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</si>
  <si>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</si>
  <si>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</si>
  <si>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</si>
  <si>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</si>
  <si>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</si>
  <si>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</si>
  <si>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</si>
  <si>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</si>
  <si>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</si>
  <si>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</si>
  <si>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</si>
  <si>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</si>
  <si>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</si>
  <si>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</si>
  <si>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</si>
  <si>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</si>
  <si>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</si>
  <si>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</si>
  <si>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</si>
  <si>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</si>
  <si>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</si>
  <si>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</si>
  <si>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</si>
  <si>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</si>
  <si>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</si>
  <si>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</si>
  <si>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</si>
  <si>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</si>
  <si>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</si>
  <si>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</si>
  <si>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</si>
  <si>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</si>
  <si>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</si>
  <si>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</si>
  <si>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</si>
  <si>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</si>
  <si>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</si>
  <si>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</si>
  <si>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</si>
  <si>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</si>
  <si>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</si>
  <si>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</si>
  <si>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</si>
  <si>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</si>
  <si>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</si>
  <si>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</si>
  <si>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</si>
  <si>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</si>
  <si>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</si>
  <si>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</si>
  <si>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</si>
  <si>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</si>
  <si>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</si>
  <si>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</si>
  <si>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</si>
  <si>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</si>
  <si>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</si>
  <si>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</si>
  <si>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</si>
  <si>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</si>
  <si>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</si>
  <si>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</si>
  <si>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</si>
  <si>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</si>
  <si>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</si>
  <si>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</si>
  <si>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</si>
  <si>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</si>
  <si>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</si>
  <si>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</si>
  <si>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</si>
  <si>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</si>
  <si>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</si>
  <si>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</si>
  <si>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</si>
  <si>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</si>
  <si>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</si>
  <si>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</si>
  <si>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</si>
  <si>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</si>
  <si>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</si>
  <si>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</si>
  <si>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</si>
  <si>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</si>
  <si>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</si>
  <si>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</si>
  <si>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</si>
  <si>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</si>
  <si>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</si>
  <si>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</si>
  <si>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</si>
  <si>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</si>
  <si>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</si>
  <si>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</si>
  <si>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</si>
  <si>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</si>
  <si>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</si>
  <si>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</si>
  <si>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</si>
  <si>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</si>
  <si>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</si>
  <si>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</si>
  <si>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</si>
  <si>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</si>
  <si>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</si>
  <si>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</si>
  <si>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</si>
  <si>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</si>
  <si>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</si>
  <si>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</si>
  <si>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</si>
  <si>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</si>
  <si>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</si>
  <si>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</si>
  <si>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</si>
  <si>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</si>
  <si>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</si>
  <si>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</si>
  <si>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</si>
  <si>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</si>
  <si>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</si>
  <si>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</si>
  <si>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</si>
  <si>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</si>
  <si>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</si>
  <si>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</si>
  <si>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</si>
  <si>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</si>
  <si>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</si>
  <si>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</si>
  <si>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</si>
  <si>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</si>
  <si>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</si>
  <si>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</si>
  <si>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</si>
  <si>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</si>
  <si>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</si>
  <si>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</si>
  <si>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</si>
  <si>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</si>
  <si>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</si>
  <si>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</si>
  <si>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</si>
  <si>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</si>
  <si>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</si>
  <si>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</si>
  <si>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</si>
  <si>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</si>
  <si>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</si>
  <si>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</si>
  <si>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</si>
  <si>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</si>
  <si>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</si>
  <si>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</si>
  <si>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</si>
  <si>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</si>
  <si>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</si>
  <si>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</si>
  <si>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</si>
  <si>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</si>
  <si>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</si>
  <si>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</si>
  <si>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</si>
  <si>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</si>
  <si>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</si>
  <si>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</si>
  <si>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</si>
  <si>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</si>
  <si>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</si>
  <si>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</si>
  <si>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</si>
  <si>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</si>
  <si>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</si>
  <si>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</si>
  <si>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</si>
  <si>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</si>
  <si>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</si>
  <si>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</si>
  <si>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</si>
  <si>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</si>
  <si>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</si>
  <si>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</si>
  <si>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</si>
  <si>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</si>
  <si>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</si>
  <si>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</si>
  <si>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</si>
  <si>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</si>
  <si>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</si>
  <si>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</si>
  <si>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</si>
  <si>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</si>
  <si>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</si>
  <si>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</si>
  <si>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</si>
  <si>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</si>
  <si>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</si>
  <si>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</si>
  <si>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</si>
  <si>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</si>
  <si>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</si>
  <si>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</si>
  <si>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</si>
  <si>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</si>
  <si>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</si>
  <si>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</si>
  <si>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</si>
  <si>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</si>
  <si>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</si>
  <si>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</si>
  <si>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</si>
  <si>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</si>
  <si>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</si>
  <si>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</si>
  <si>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</si>
  <si>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</si>
  <si>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</si>
  <si>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</si>
  <si>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</si>
  <si>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</si>
  <si>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</si>
  <si>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</si>
  <si>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</si>
  <si>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</si>
  <si>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</si>
  <si>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</si>
  <si>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</si>
  <si>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</si>
  <si>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</si>
  <si>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</si>
  <si>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</si>
  <si>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</si>
  <si>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</si>
  <si>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</si>
  <si>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</si>
  <si>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</si>
  <si>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</si>
  <si>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</si>
  <si>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</si>
  <si>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</si>
  <si>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</si>
  <si>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</si>
  <si>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</si>
  <si>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</si>
  <si>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</si>
  <si>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</si>
  <si>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</si>
  <si>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</si>
  <si>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</si>
  <si>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</si>
  <si>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</si>
  <si>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</si>
  <si>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</si>
  <si>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</si>
  <si>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</si>
  <si>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</si>
  <si>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</si>
  <si>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</si>
  <si>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</si>
  <si>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</si>
  <si>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</si>
  <si>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</si>
  <si>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</si>
  <si>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</si>
  <si>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</si>
  <si>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</si>
  <si>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</si>
  <si>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</si>
  <si>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</si>
  <si>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</si>
  <si>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</si>
  <si>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</si>
  <si>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</si>
  <si>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</si>
  <si>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</si>
  <si>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</si>
  <si>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</si>
  <si>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</si>
  <si>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</si>
  <si>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</si>
  <si>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</si>
  <si>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</si>
  <si>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</si>
  <si>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</si>
  <si>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</si>
  <si>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</si>
  <si>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</si>
  <si>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</si>
  <si>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</si>
  <si>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</si>
  <si>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</si>
  <si>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</si>
  <si>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</si>
  <si>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</si>
  <si>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</si>
  <si>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</si>
  <si>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</si>
  <si>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</si>
  <si>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</si>
  <si>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</si>
  <si>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</si>
  <si>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</si>
  <si>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</si>
  <si>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</si>
  <si>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</si>
  <si>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</si>
  <si>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</si>
  <si>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</si>
  <si>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</si>
  <si>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</si>
  <si>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</si>
  <si>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</si>
  <si>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</si>
  <si>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</si>
  <si>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</si>
  <si>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</si>
  <si>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</si>
  <si>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</si>
  <si>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</si>
  <si>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</si>
  <si>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</si>
  <si>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</si>
  <si>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</si>
  <si>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</si>
  <si>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</si>
  <si>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</si>
  <si>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</si>
  <si>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</si>
  <si>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</si>
  <si>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</si>
  <si>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</si>
  <si>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</si>
  <si>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</si>
  <si>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</si>
  <si>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</si>
  <si>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</si>
  <si>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</si>
  <si>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</si>
  <si>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</si>
  <si>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</si>
  <si>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</si>
  <si>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</si>
  <si>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</si>
  <si>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</si>
  <si>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</si>
  <si>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</si>
  <si>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</si>
  <si>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</si>
  <si>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</si>
  <si>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</si>
  <si>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</si>
  <si>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</si>
  <si>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</si>
  <si>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</si>
  <si>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</si>
  <si>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</si>
  <si>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</si>
  <si>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</si>
  <si>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</si>
  <si>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</si>
  <si>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</si>
  <si>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</si>
  <si>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</si>
  <si>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</si>
  <si>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</si>
  <si>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</si>
  <si>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</si>
  <si>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</si>
  <si>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</si>
  <si>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</si>
  <si>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</si>
  <si>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</si>
  <si>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</si>
  <si>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</si>
  <si>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</si>
  <si>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</si>
  <si>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</si>
  <si>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</si>
  <si>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</si>
  <si>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</si>
  <si>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</si>
  <si>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</si>
  <si>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</si>
  <si>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</si>
  <si>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</si>
  <si>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</si>
  <si>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</si>
  <si>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</si>
  <si>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</si>
  <si>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</si>
  <si>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</si>
  <si>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</si>
  <si>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</si>
  <si>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</si>
  <si>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</si>
  <si>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</si>
  <si>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</si>
  <si>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</si>
  <si>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</si>
  <si>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</si>
  <si>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</si>
  <si>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</si>
  <si>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</si>
  <si>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</si>
  <si>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</si>
  <si>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</si>
  <si>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</si>
  <si>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</si>
  <si>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</si>
  <si>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</si>
  <si>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</si>
  <si>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</si>
  <si>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</si>
  <si>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</si>
  <si>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</si>
  <si>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</si>
  <si>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</si>
  <si>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</si>
  <si>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</si>
  <si>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</si>
  <si>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</si>
  <si>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</si>
  <si>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</si>
  <si>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</si>
  <si>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</si>
  <si>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</si>
  <si>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</si>
  <si>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</si>
  <si>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</si>
  <si>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</si>
  <si>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</si>
  <si>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</si>
  <si>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</si>
  <si>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</si>
  <si>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</si>
  <si>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</si>
  <si>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</si>
  <si>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</si>
  <si>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</si>
  <si>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</si>
  <si>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</si>
  <si>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</si>
  <si>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</si>
  <si>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</si>
  <si>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</si>
  <si>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</si>
  <si>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</si>
  <si>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</si>
  <si>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</si>
  <si>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</si>
  <si>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</si>
  <si>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</si>
  <si>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</si>
  <si>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</si>
  <si>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</si>
  <si>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</si>
  <si>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</si>
  <si>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</si>
  <si>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</si>
  <si>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</si>
  <si>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</si>
  <si>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</si>
  <si>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</si>
  <si>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</si>
  <si>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</si>
  <si>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</si>
  <si>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</si>
  <si>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</si>
  <si>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</si>
  <si>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</si>
  <si>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</si>
  <si>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</si>
  <si>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</si>
  <si>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</si>
  <si>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</si>
  <si>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</si>
  <si>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</si>
  <si>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</si>
  <si>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</si>
  <si>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</si>
  <si>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</si>
  <si>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</si>
  <si>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</si>
  <si>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</si>
  <si>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</si>
  <si>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</si>
  <si>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</si>
  <si>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</si>
  <si>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</si>
  <si>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</si>
  <si>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</si>
  <si>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</si>
  <si>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</si>
  <si>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</si>
  <si>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</si>
  <si>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</si>
  <si>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</si>
  <si>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</si>
  <si>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</si>
  <si>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</si>
  <si>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</si>
  <si>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</si>
  <si>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</si>
  <si>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</si>
  <si>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</si>
  <si>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</si>
  <si>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</si>
  <si>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</si>
  <si>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</si>
  <si>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</si>
  <si>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</si>
  <si>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</si>
  <si>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</si>
  <si>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</si>
  <si>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</si>
  <si>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</si>
  <si>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</si>
  <si>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</si>
  <si>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</si>
  <si>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</si>
  <si>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</si>
  <si>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</si>
  <si>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</si>
  <si>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</si>
  <si>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</si>
  <si>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</si>
  <si>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</si>
  <si>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</si>
  <si>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</si>
  <si>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</si>
  <si>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</si>
  <si>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</si>
  <si>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</si>
  <si>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</si>
  <si>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</si>
  <si>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</si>
  <si>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</si>
  <si>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</si>
  <si>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</si>
  <si>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</si>
  <si>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</si>
  <si>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</si>
  <si>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</si>
  <si>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</si>
  <si>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</si>
  <si>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</si>
  <si>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</si>
  <si>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</si>
  <si>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</si>
  <si>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</si>
  <si>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</si>
  <si>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</si>
  <si>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</si>
  <si>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</si>
  <si>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</si>
  <si>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</si>
  <si>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</si>
  <si>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</si>
  <si>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</si>
  <si>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</si>
  <si>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</si>
  <si>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</si>
  <si>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</si>
  <si>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</si>
  <si>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</si>
  <si>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</si>
  <si>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</si>
  <si>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</si>
  <si>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</si>
  <si>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</si>
  <si>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</si>
  <si>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</si>
  <si>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</si>
  <si>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</si>
  <si>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</si>
  <si>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</si>
  <si>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</si>
  <si>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</si>
  <si>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</si>
  <si>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</si>
  <si>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</si>
  <si>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</si>
  <si>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</si>
  <si>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</si>
  <si>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</si>
  <si>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</si>
  <si>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</si>
  <si>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</si>
  <si>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</si>
  <si>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</si>
  <si>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</si>
  <si>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</si>
  <si>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</si>
  <si>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</si>
  <si>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</si>
  <si>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</si>
  <si>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</si>
  <si>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</si>
  <si>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</si>
  <si>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</si>
  <si>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</si>
  <si>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</si>
  <si>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</si>
  <si>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</si>
  <si>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</si>
  <si>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</si>
  <si>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</si>
  <si>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</si>
  <si>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</si>
  <si>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</si>
  <si>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</si>
  <si>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</si>
  <si>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</si>
  <si>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</si>
  <si>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</si>
  <si>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</si>
  <si>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</si>
  <si>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</si>
  <si>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</si>
  <si>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</si>
  <si>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</si>
  <si>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</si>
  <si>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</si>
  <si>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</si>
  <si>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</si>
  <si>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</si>
  <si>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</si>
  <si>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</si>
  <si>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</si>
  <si>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</si>
  <si>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</si>
  <si>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</si>
  <si>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</si>
  <si>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</si>
  <si>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</si>
  <si>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</si>
  <si>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</si>
  <si>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</si>
  <si>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</si>
  <si>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</si>
  <si>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</si>
  <si>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</si>
  <si>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</si>
  <si>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</si>
  <si>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</si>
  <si>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</si>
  <si>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</si>
  <si>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</si>
  <si>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</si>
  <si>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</si>
  <si>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</si>
  <si>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</si>
  <si>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</si>
  <si>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</si>
  <si>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</si>
  <si>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</si>
  <si>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</si>
  <si>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</si>
  <si>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</si>
  <si>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</si>
  <si>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</si>
  <si>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</si>
  <si>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</si>
  <si>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</si>
  <si>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</si>
  <si>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</si>
  <si>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</si>
  <si>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</si>
  <si>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</si>
  <si>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</si>
  <si>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</si>
  <si>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</si>
  <si>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</si>
  <si>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</si>
  <si>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</si>
  <si>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</si>
  <si>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</si>
  <si>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</si>
  <si>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</si>
  <si>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</si>
  <si>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</si>
  <si>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</si>
  <si>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</si>
  <si>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</si>
  <si>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</si>
  <si>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</si>
  <si>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</si>
  <si>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</si>
  <si>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</si>
  <si>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</si>
  <si>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</si>
  <si>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</si>
  <si>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</si>
  <si>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</si>
  <si>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</si>
  <si>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</si>
  <si>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</si>
  <si>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</si>
  <si>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</si>
  <si>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</si>
  <si>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</si>
  <si>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</si>
  <si>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</si>
  <si>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</si>
  <si>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</si>
  <si>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</si>
  <si>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</si>
  <si>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</si>
  <si>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</si>
  <si>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</si>
  <si>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</si>
  <si>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</si>
  <si>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</si>
  <si>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</si>
  <si>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</si>
  <si>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</si>
  <si>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</si>
  <si>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</si>
  <si>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</si>
  <si>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</si>
  <si>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</si>
  <si>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</si>
  <si>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</si>
  <si>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</si>
  <si>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</si>
  <si>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</si>
  <si>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</si>
  <si>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</si>
  <si>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</si>
  <si>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</si>
  <si>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</si>
  <si>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</si>
  <si>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</si>
  <si>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</si>
  <si>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</si>
  <si>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</si>
  <si>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</si>
  <si>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</si>
  <si>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</si>
  <si>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</si>
  <si>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</si>
  <si>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</si>
  <si>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</si>
  <si>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</si>
  <si>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</si>
  <si>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</si>
  <si>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</si>
  <si>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</si>
  <si>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</si>
  <si>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</si>
  <si>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</si>
  <si>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</si>
  <si>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</si>
  <si>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</si>
  <si>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</si>
  <si>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</si>
  <si>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</si>
  <si>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</si>
  <si>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</si>
  <si>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</si>
  <si>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</si>
  <si>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</si>
  <si>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</si>
  <si>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</si>
  <si>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</si>
  <si>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</si>
  <si>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</si>
  <si>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</si>
  <si>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</si>
  <si>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</si>
  <si>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</si>
  <si>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</si>
  <si>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</si>
  <si>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</si>
  <si>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</si>
  <si>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</si>
  <si>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</si>
  <si>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</si>
  <si>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</si>
  <si>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</si>
  <si>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</si>
  <si>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</si>
  <si>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</si>
  <si>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</si>
  <si>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</si>
  <si>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</si>
  <si>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</si>
  <si>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</si>
  <si>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</si>
  <si>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</si>
  <si>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</si>
  <si>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</si>
  <si>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</si>
  <si>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</si>
  <si>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</si>
  <si>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</si>
  <si>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</si>
  <si>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</si>
  <si>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</si>
  <si>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</si>
  <si>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</si>
  <si>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</si>
  <si>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</si>
  <si>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</si>
  <si>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</si>
  <si>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</si>
  <si>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</si>
  <si>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</si>
  <si>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</si>
  <si>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</si>
  <si>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</si>
  <si>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</si>
  <si>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</si>
  <si>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</si>
  <si>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</si>
  <si>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</si>
  <si>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</si>
  <si>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</si>
  <si>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</si>
  <si>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</si>
  <si>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</si>
  <si>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</si>
  <si>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</si>
  <si>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</si>
  <si>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</si>
  <si>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</si>
  <si>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</si>
  <si>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</si>
  <si>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</si>
  <si>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</si>
  <si>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</si>
  <si>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</si>
  <si>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</si>
  <si>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</si>
  <si>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</si>
  <si>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</si>
  <si>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</si>
  <si>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</si>
  <si>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</si>
  <si>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</si>
  <si>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</si>
  <si>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</si>
  <si>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</si>
  <si>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</si>
  <si>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</si>
  <si>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</si>
  <si>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</si>
  <si>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</si>
  <si>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</si>
  <si>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</si>
  <si>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</si>
  <si>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</si>
  <si>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</si>
  <si>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</si>
  <si>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</si>
  <si>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</si>
  <si>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</si>
  <si>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</si>
  <si>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</si>
  <si>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</si>
  <si>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</si>
  <si>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</si>
  <si>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</si>
  <si>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</si>
  <si>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</si>
  <si>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</si>
  <si>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</si>
  <si>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</si>
  <si>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</si>
  <si>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</si>
  <si>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</si>
  <si>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</si>
  <si>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</si>
  <si>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</si>
  <si>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</si>
  <si>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</si>
  <si>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</si>
  <si>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</si>
  <si>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</si>
  <si>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</si>
  <si>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</si>
  <si>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</si>
  <si>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</si>
  <si>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</si>
  <si>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</si>
  <si>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</si>
  <si>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</si>
  <si>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</si>
  <si>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</si>
  <si>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</si>
  <si>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</si>
  <si>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</si>
  <si>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</si>
  <si>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</si>
  <si>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</si>
  <si>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</si>
  <si>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</si>
  <si>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</si>
  <si>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</si>
  <si>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</si>
  <si>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</si>
  <si>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</si>
  <si>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</si>
  <si>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</si>
  <si>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</si>
  <si>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</si>
  <si>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</si>
  <si>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</si>
  <si>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</si>
  <si>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</si>
  <si>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</si>
  <si>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</si>
  <si>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</si>
  <si>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</si>
  <si>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</si>
  <si>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</si>
  <si>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</si>
  <si>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</si>
  <si>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</si>
  <si>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</si>
  <si>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</si>
  <si>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</si>
  <si>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</si>
  <si>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</si>
  <si>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</si>
  <si>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</si>
  <si>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</si>
  <si>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</si>
  <si>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</si>
  <si>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</si>
  <si>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</si>
  <si>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</si>
  <si>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</si>
  <si>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</si>
  <si>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</si>
  <si>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</si>
  <si>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</si>
  <si>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</si>
  <si>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</si>
  <si>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</si>
  <si>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</si>
  <si>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</si>
  <si>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</si>
  <si>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</si>
  <si>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</si>
  <si>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</si>
  <si>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</si>
  <si>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</si>
  <si>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</si>
  <si>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</si>
  <si>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</si>
  <si>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</si>
  <si>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</si>
  <si>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</si>
  <si>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</si>
  <si>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</si>
  <si>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</si>
  <si>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</si>
  <si>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</si>
  <si>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</si>
  <si>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</si>
  <si>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</si>
  <si>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</si>
  <si>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</si>
  <si>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</si>
  <si>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</si>
  <si>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</si>
  <si>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</si>
  <si>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</si>
  <si>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</si>
  <si>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</si>
  <si>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</si>
  <si>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</si>
  <si>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</si>
  <si>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</si>
  <si>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</si>
  <si>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</si>
  <si>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</si>
  <si>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</si>
  <si>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</si>
  <si>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</si>
  <si>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</si>
  <si>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</si>
  <si>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</si>
  <si>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</si>
  <si>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</si>
  <si>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</si>
  <si>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</si>
  <si>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FENNER FAN BELT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</si>
  <si>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</si>
  <si>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</si>
  <si>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</si>
  <si>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</si>
  <si>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</si>
  <si>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</si>
  <si>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</si>
  <si>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</si>
  <si>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</si>
  <si>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</si>
  <si>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</si>
  <si>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</si>
  <si>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</si>
  <si>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</si>
  <si>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</si>
  <si>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</si>
  <si>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</si>
  <si>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</si>
  <si>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</si>
  <si>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</si>
  <si>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</si>
  <si>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</si>
  <si>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</si>
  <si>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</si>
  <si>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</si>
  <si>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</si>
  <si>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</si>
  <si>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</si>
  <si>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</si>
  <si>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</si>
  <si>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</si>
  <si>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</si>
  <si>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</si>
  <si>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</si>
  <si>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</si>
  <si>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</si>
  <si>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</si>
  <si>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</si>
  <si>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</si>
  <si>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</si>
  <si>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</si>
  <si>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</si>
  <si>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</si>
  <si>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</si>
  <si>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</si>
  <si>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</si>
  <si>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</si>
  <si>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</si>
  <si>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</si>
  <si>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</si>
  <si>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</si>
  <si>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</si>
  <si>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</si>
  <si>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</si>
  <si>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</si>
  <si>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</si>
  <si>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</si>
  <si>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</si>
  <si>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</si>
  <si>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</si>
  <si>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</si>
  <si>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</si>
  <si>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</si>
  <si>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</si>
  <si>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</si>
  <si>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</si>
  <si>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</si>
  <si>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</si>
  <si>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</si>
  <si>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</si>
  <si>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</si>
  <si>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</si>
  <si>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</si>
  <si>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</si>
  <si>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</si>
  <si>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</si>
  <si>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</si>
  <si>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</si>
  <si>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</si>
  <si>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</si>
  <si>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</si>
  <si>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</si>
  <si>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</si>
  <si>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</si>
  <si>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</si>
  <si>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</si>
  <si>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</si>
  <si>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</si>
  <si>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</si>
  <si>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</si>
  <si>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</si>
  <si>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</si>
  <si>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</si>
  <si>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</si>
  <si>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</si>
  <si>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</si>
  <si>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</si>
  <si>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</si>
  <si>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</si>
  <si>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</si>
  <si>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</si>
  <si>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</si>
  <si>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</si>
  <si>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</si>
  <si>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</si>
  <si>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</si>
  <si>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</si>
  <si>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</si>
  <si>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</si>
  <si>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</si>
  <si>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</si>
  <si>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</si>
  <si>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</si>
  <si>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</si>
  <si>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</si>
  <si>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</si>
  <si>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</si>
  <si>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</si>
  <si>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</si>
  <si>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</si>
  <si>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</si>
  <si>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</si>
  <si>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</si>
  <si>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</si>
  <si>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</si>
  <si>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</si>
  <si>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</si>
  <si>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</si>
  <si>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</si>
  <si>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</si>
  <si>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</si>
  <si>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</si>
  <si>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</si>
  <si>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</si>
  <si>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</si>
  <si>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</si>
  <si>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</si>
  <si>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</si>
  <si>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</si>
  <si>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</si>
  <si>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</si>
  <si>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</si>
  <si>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</si>
  <si>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</si>
  <si>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</si>
  <si>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</si>
  <si>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</si>
  <si>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</si>
  <si>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</si>
  <si>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</si>
  <si>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</si>
  <si>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</si>
  <si>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</si>
  <si>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</si>
  <si>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</si>
  <si>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</si>
  <si>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</si>
  <si>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</si>
  <si>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</si>
  <si>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</si>
  <si>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</si>
  <si>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</si>
  <si>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</si>
  <si>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</si>
  <si>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</si>
  <si>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</si>
  <si>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</si>
  <si>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</si>
  <si>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</si>
  <si>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</si>
  <si>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</si>
  <si>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</si>
  <si>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</si>
  <si>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</si>
  <si>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</si>
  <si>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</si>
  <si>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</si>
  <si>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</si>
  <si>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</si>
  <si>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</si>
  <si>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</si>
  <si>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</si>
  <si>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</si>
  <si>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</si>
  <si>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</si>
  <si>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</si>
  <si>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</si>
  <si>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</si>
  <si>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</si>
  <si>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</si>
  <si>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</si>
  <si>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</si>
  <si>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</si>
  <si>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</si>
  <si>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</si>
  <si>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</si>
  <si>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</si>
  <si>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</si>
  <si>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</si>
  <si>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</si>
  <si>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</si>
  <si>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</si>
  <si>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</si>
  <si>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</si>
  <si>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</si>
  <si>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</si>
  <si>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</si>
  <si>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</si>
  <si>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</si>
  <si>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</si>
  <si>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</si>
  <si>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</si>
  <si>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</si>
  <si>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</si>
  <si>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</si>
  <si>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</si>
  <si>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</si>
  <si>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</si>
  <si>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</si>
  <si>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</si>
  <si>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</si>
  <si>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</si>
  <si>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</si>
  <si>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</si>
  <si>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</si>
  <si>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</si>
  <si>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</si>
  <si>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</si>
  <si>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</si>
  <si>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</si>
  <si>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</si>
  <si>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</si>
  <si>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</si>
  <si>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</si>
  <si>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</si>
  <si>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</si>
  <si>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</si>
  <si>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</si>
  <si>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</si>
  <si>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</si>
  <si>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</si>
  <si>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</si>
  <si>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</si>
  <si>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</si>
  <si>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</si>
  <si>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</si>
  <si>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</si>
  <si>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</si>
  <si>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</si>
  <si>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</si>
  <si>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</si>
  <si>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</si>
  <si>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</si>
  <si>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</si>
  <si>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</si>
  <si>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</si>
  <si>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</si>
  <si>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</si>
  <si>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</si>
  <si>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</si>
  <si>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</si>
  <si>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</si>
  <si>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</si>
  <si>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</si>
  <si>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</si>
  <si>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</si>
  <si>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</si>
  <si>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</si>
  <si>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</si>
  <si>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</si>
  <si>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</si>
  <si>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</si>
  <si>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</si>
  <si>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</si>
  <si>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</si>
  <si>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</si>
  <si>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</si>
  <si>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</si>
  <si>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</si>
  <si>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</si>
  <si>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</si>
  <si>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</si>
  <si>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</si>
  <si>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</si>
  <si>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</si>
  <si>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</si>
  <si>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</si>
  <si>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</si>
  <si>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</si>
  <si>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</si>
  <si>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</si>
  <si>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</si>
  <si>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</si>
  <si>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</si>
  <si>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</si>
  <si>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</si>
  <si>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</si>
  <si>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</si>
  <si>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</si>
  <si>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</si>
  <si>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</si>
  <si>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</si>
  <si>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</si>
  <si>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</si>
  <si>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</si>
  <si>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</si>
  <si>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</si>
  <si>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</si>
  <si>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</si>
  <si>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</si>
  <si>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</si>
  <si>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</si>
  <si>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</si>
  <si>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</si>
  <si>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</si>
  <si>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</si>
  <si>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</si>
  <si>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</si>
  <si>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</si>
  <si>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</si>
  <si>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</si>
  <si>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</si>
  <si>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</si>
  <si>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</si>
  <si>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</si>
  <si>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</si>
  <si>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</si>
  <si>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</si>
  <si>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</si>
  <si>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</si>
  <si>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</si>
  <si>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</si>
  <si>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</si>
  <si>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</si>
  <si>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</si>
  <si>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</si>
  <si>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</si>
  <si>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</si>
  <si>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</si>
  <si>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</si>
  <si>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</si>
  <si>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</si>
  <si>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</si>
  <si>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</si>
  <si>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</si>
  <si>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</si>
  <si>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</si>
  <si>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</si>
  <si>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</si>
  <si>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</si>
  <si>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</si>
  <si>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</si>
  <si>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</si>
  <si>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</si>
  <si>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</si>
  <si>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</si>
  <si>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</si>
  <si>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</si>
  <si>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</si>
  <si>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</si>
  <si>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</si>
  <si>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</si>
  <si>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</si>
  <si>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</si>
  <si>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</si>
  <si>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</si>
  <si>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</si>
  <si>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</si>
  <si>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</si>
  <si>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</si>
  <si>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</si>
  <si>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</si>
  <si>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</si>
  <si>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</si>
  <si>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</si>
  <si>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</si>
  <si>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</si>
  <si>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</si>
  <si>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</si>
  <si>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</si>
  <si>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</si>
  <si>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</si>
  <si>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</si>
  <si>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</si>
  <si>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</si>
  <si>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</si>
  <si>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</si>
  <si>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</si>
  <si>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</si>
  <si>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</si>
  <si>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</si>
  <si>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</si>
  <si>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</si>
  <si>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</si>
  <si>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</si>
  <si>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</si>
  <si>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</si>
  <si>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</si>
  <si>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</si>
  <si>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</si>
  <si>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</si>
  <si>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</si>
  <si>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</si>
  <si>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</si>
  <si>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</si>
  <si>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</si>
  <si>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</si>
  <si>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</si>
  <si>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</si>
  <si>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</si>
  <si>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</si>
  <si>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</si>
  <si>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</si>
  <si>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</si>
  <si>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</si>
  <si>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</si>
  <si>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</si>
  <si>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</si>
  <si>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</si>
  <si>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</si>
  <si>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</si>
  <si>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</si>
  <si>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</si>
  <si>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</si>
  <si>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</si>
  <si>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</si>
  <si>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</si>
  <si>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</si>
  <si>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</si>
  <si>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</si>
  <si>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</si>
  <si>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</si>
  <si>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</si>
  <si>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</si>
  <si>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</si>
  <si>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</si>
  <si>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</si>
  <si>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</si>
  <si>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</si>
  <si>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</si>
  <si>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</si>
  <si>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</si>
  <si>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</si>
  <si>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</si>
  <si>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</si>
  <si>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</si>
  <si>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</si>
  <si>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</si>
  <si>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</si>
  <si>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</si>
  <si>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</si>
  <si>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</si>
  <si>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</si>
  <si>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</si>
  <si>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</si>
  <si>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</si>
  <si>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</si>
  <si>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</si>
  <si>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</si>
  <si>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</si>
  <si>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</si>
  <si>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</si>
  <si>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</si>
  <si>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</si>
  <si>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</si>
  <si>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</si>
  <si>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</si>
  <si>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</si>
  <si>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</si>
  <si>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</si>
  <si>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</si>
  <si>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</si>
  <si>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</si>
  <si>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</si>
  <si>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</si>
  <si>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</si>
  <si>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</si>
  <si>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</si>
  <si>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</si>
  <si>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</si>
  <si>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</si>
  <si>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</si>
  <si>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</si>
  <si>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</si>
  <si>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</si>
  <si>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</si>
  <si>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</si>
  <si>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</si>
  <si>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</si>
  <si>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</si>
  <si>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</si>
  <si>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</si>
  <si>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</si>
  <si>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</si>
  <si>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</si>
  <si>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</si>
  <si>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</si>
  <si>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</si>
  <si>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</si>
  <si>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</si>
  <si>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</si>
  <si>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</si>
  <si>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</si>
  <si>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</si>
  <si>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</si>
  <si>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</si>
  <si>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</si>
  <si>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</si>
  <si>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</si>
  <si>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</si>
  <si>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</si>
  <si>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</si>
  <si>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</si>
  <si>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</si>
  <si>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</si>
  <si>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</si>
  <si>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</si>
  <si>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</si>
  <si>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</si>
  <si>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</si>
  <si>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</si>
  <si>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</si>
  <si>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</si>
  <si>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</si>
  <si>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</si>
  <si>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</si>
  <si>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</si>
  <si>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</si>
  <si>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</si>
  <si>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</si>
  <si>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</si>
  <si>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</si>
  <si>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</si>
  <si>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</si>
  <si>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</si>
  <si>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</si>
  <si>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</si>
  <si>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</si>
  <si>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</si>
  <si>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</si>
  <si>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</si>
  <si>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</si>
  <si>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</si>
  <si>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</si>
  <si>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</si>
  <si>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</si>
  <si>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</si>
  <si>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</si>
  <si>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</si>
  <si>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</si>
  <si>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</si>
  <si>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</si>
  <si>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</si>
  <si>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</si>
  <si>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</si>
  <si>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</si>
  <si>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</si>
  <si>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</si>
  <si>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</si>
  <si>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</si>
  <si>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</si>
  <si>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</si>
  <si>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</si>
  <si>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</si>
  <si>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</si>
  <si>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</si>
  <si>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</si>
  <si>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</si>
  <si>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</si>
  <si>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</si>
  <si>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</si>
  <si>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</si>
  <si>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</si>
  <si>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</si>
  <si>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</si>
  <si>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</si>
  <si>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</si>
  <si>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</si>
  <si>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</si>
  <si>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</si>
  <si>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</si>
  <si>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</si>
  <si>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</si>
  <si>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</si>
  <si>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</si>
  <si>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</si>
  <si>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</si>
  <si>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</si>
  <si>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</si>
  <si>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</si>
  <si>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</si>
  <si>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</si>
  <si>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</si>
  <si>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</si>
  <si>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</si>
  <si>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</si>
  <si>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</si>
  <si>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</si>
  <si>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</si>
  <si>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</si>
  <si>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</si>
  <si>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</si>
  <si>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</si>
  <si>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</si>
  <si>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</si>
  <si>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</si>
  <si>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</si>
  <si>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</si>
  <si>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</si>
  <si>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</si>
  <si>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</si>
  <si>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</si>
  <si>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</si>
  <si>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</si>
  <si>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</si>
  <si>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</si>
  <si>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</si>
  <si>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</si>
  <si>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</si>
  <si>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</si>
  <si>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</si>
  <si>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</si>
  <si>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</si>
  <si>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</si>
  <si>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</si>
  <si>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</si>
  <si>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</si>
  <si>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</si>
  <si>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</si>
  <si>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</si>
  <si>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</si>
  <si>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</si>
  <si>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</si>
  <si>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</si>
  <si>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</si>
  <si>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</si>
  <si>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</si>
  <si>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</si>
  <si>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</si>
  <si>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</si>
  <si>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</si>
  <si>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</si>
  <si>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</si>
  <si>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</si>
  <si>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</si>
  <si>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</si>
  <si>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</si>
  <si>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</si>
  <si>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</si>
  <si>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</si>
  <si>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</si>
  <si>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</si>
  <si>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</si>
  <si>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</si>
  <si>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</si>
  <si>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</si>
  <si>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</si>
  <si>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</si>
  <si>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</si>
  <si>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</si>
  <si>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</si>
  <si>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</si>
  <si>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</si>
  <si>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</si>
  <si>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</si>
  <si>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</si>
  <si>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</si>
  <si>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</si>
  <si>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</si>
  <si>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</si>
  <si>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</si>
  <si>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</si>
  <si>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</si>
  <si>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</si>
  <si>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</si>
  <si>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</si>
  <si>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</si>
  <si>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</si>
  <si>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</si>
  <si>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</si>
  <si>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</si>
  <si>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</si>
  <si>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</si>
  <si>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</si>
  <si>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</si>
  <si>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</si>
  <si>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</si>
  <si>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</si>
  <si>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</si>
  <si>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</si>
  <si>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</si>
  <si>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</si>
  <si>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</si>
  <si>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</si>
  <si>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</si>
  <si>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</si>
  <si>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</si>
  <si>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</si>
  <si>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</si>
  <si>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</si>
  <si>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</si>
  <si>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</si>
  <si>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</si>
  <si>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</si>
  <si>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</si>
  <si>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</si>
  <si>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</si>
  <si>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</si>
  <si>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</si>
  <si>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</si>
  <si>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</si>
  <si>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</si>
  <si>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</si>
  <si>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</si>
  <si>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</si>
  <si>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</si>
  <si>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</si>
  <si>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</si>
  <si>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</si>
  <si>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</si>
  <si>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</si>
  <si>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</si>
  <si>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</si>
  <si>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</si>
  <si>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</si>
  <si>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</si>
  <si>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</si>
  <si>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</si>
  <si>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</si>
  <si>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</si>
  <si>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</si>
  <si>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</si>
  <si>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</si>
  <si>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</si>
  <si>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</si>
  <si>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</si>
  <si>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</si>
  <si>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</si>
  <si>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</si>
  <si>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</si>
  <si>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</si>
  <si>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</si>
  <si>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</si>
  <si>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</si>
  <si>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</si>
  <si>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</si>
  <si>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</si>
  <si>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</si>
  <si>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</si>
  <si>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</si>
  <si>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</si>
  <si>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</si>
  <si>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</si>
  <si>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</si>
  <si>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</si>
  <si>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</si>
  <si>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</si>
  <si>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</si>
  <si>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</si>
  <si>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</si>
  <si>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</si>
  <si>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</si>
  <si>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</si>
  <si>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</si>
  <si>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</si>
  <si>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</si>
  <si>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</si>
  <si>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</si>
  <si>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</si>
  <si>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</si>
  <si>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</si>
  <si>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</si>
  <si>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</si>
  <si>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</si>
  <si>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</si>
  <si>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</si>
  <si>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</si>
  <si>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</si>
  <si>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</si>
  <si>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</si>
  <si>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</si>
  <si>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</si>
  <si>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</si>
  <si>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</si>
  <si>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</si>
  <si>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</si>
  <si>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</si>
  <si>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</si>
  <si>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</si>
  <si>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</si>
  <si>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</si>
  <si>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</si>
  <si>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</si>
  <si>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</si>
  <si>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</si>
  <si>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</si>
  <si>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</si>
  <si>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</si>
  <si>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</si>
  <si>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</si>
  <si>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</si>
  <si>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</si>
  <si>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</si>
  <si>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</si>
  <si>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</si>
  <si>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</si>
  <si>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</si>
  <si>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</si>
  <si>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</si>
  <si>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</si>
  <si>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</si>
  <si>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</si>
  <si>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</si>
  <si>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</si>
  <si>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</si>
  <si>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</si>
  <si>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</si>
  <si>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</si>
  <si>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</si>
  <si>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</si>
  <si>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</si>
  <si>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</si>
  <si>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</si>
  <si>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</si>
  <si>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</si>
  <si>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</si>
  <si>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</si>
  <si>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</si>
  <si>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</si>
  <si>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</si>
  <si>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</si>
  <si>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</si>
  <si>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</si>
  <si>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</si>
  <si>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</si>
  <si>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</si>
  <si>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</si>
  <si>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</si>
  <si>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</si>
  <si>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</si>
  <si>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</si>
  <si>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</si>
  <si>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</si>
  <si>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</si>
  <si>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</si>
  <si>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</si>
  <si>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</si>
  <si>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</si>
  <si>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</si>
  <si>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</si>
  <si>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</si>
  <si>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</si>
  <si>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</si>
  <si>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</si>
  <si>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</si>
  <si>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</si>
  <si>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</si>
  <si>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</si>
  <si>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</si>
  <si>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</si>
  <si>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</si>
  <si>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</si>
  <si>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</si>
  <si>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</si>
  <si>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</si>
  <si>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</si>
  <si>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</si>
  <si>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</si>
  <si>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</si>
  <si>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</si>
  <si>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</si>
  <si>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</si>
  <si>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</si>
  <si>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</si>
  <si>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</si>
  <si>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</si>
  <si>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</si>
  <si>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</si>
  <si>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</si>
  <si>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</si>
  <si>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</si>
  <si>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</si>
  <si>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</si>
  <si>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</si>
  <si>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</si>
  <si>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</si>
  <si>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</si>
  <si>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</si>
  <si>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</si>
  <si>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</si>
  <si>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</si>
  <si>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</si>
  <si>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</si>
  <si>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</si>
  <si>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</si>
  <si>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</si>
  <si>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</si>
  <si>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</si>
  <si>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</si>
  <si>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</si>
  <si>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</si>
  <si>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</si>
  <si>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</si>
  <si>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</si>
  <si>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</si>
  <si>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</si>
  <si>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</si>
  <si>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</si>
  <si>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</si>
  <si>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</si>
  <si>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</si>
  <si>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</si>
  <si>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</si>
  <si>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</si>
  <si>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</si>
  <si>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</si>
  <si>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</si>
  <si>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</si>
  <si>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</si>
  <si>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</si>
  <si>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</si>
  <si>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</si>
  <si>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</si>
  <si>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</si>
  <si>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</si>
  <si>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</si>
  <si>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</si>
  <si>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</si>
  <si>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</si>
  <si>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</si>
  <si>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</si>
  <si>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</si>
  <si>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</si>
  <si>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</si>
  <si>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</si>
  <si>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</si>
  <si>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</si>
  <si>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</si>
  <si>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</si>
  <si>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</si>
  <si>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</si>
  <si>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</si>
  <si>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</si>
  <si>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</si>
  <si>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</si>
  <si>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</si>
  <si>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</si>
  <si>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</si>
  <si>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</si>
  <si>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</si>
  <si>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</si>
  <si>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</si>
  <si>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</si>
  <si>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</si>
  <si>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</si>
  <si>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</si>
  <si>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</si>
  <si>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</si>
  <si>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</si>
  <si>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</si>
  <si>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</si>
  <si>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</si>
  <si>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</si>
  <si>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</si>
  <si>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</si>
  <si>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</si>
  <si>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</si>
  <si>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</si>
  <si>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</si>
  <si>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</si>
  <si>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</si>
  <si>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</si>
  <si>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</si>
  <si>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</si>
  <si>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</si>
  <si>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</si>
  <si>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</si>
  <si>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</si>
  <si>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</si>
  <si>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</si>
  <si>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</si>
  <si>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</si>
  <si>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</si>
  <si>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</si>
  <si>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</si>
  <si>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</si>
  <si>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</si>
  <si>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</si>
  <si>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</si>
  <si>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</si>
  <si>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</si>
  <si>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</si>
  <si>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</si>
  <si>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</si>
  <si>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</si>
  <si>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</si>
  <si>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</si>
  <si>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</si>
  <si>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</si>
  <si>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</si>
  <si>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</si>
  <si>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</si>
  <si>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</si>
  <si>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</si>
  <si>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</si>
  <si>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</si>
  <si>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</si>
  <si>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</si>
  <si>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</si>
  <si>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</si>
  <si>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</si>
  <si>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</si>
  <si>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</si>
  <si>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</si>
  <si>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</si>
  <si>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</si>
  <si>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</si>
  <si>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</si>
  <si>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</si>
  <si>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</si>
  <si>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</si>
  <si>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</si>
  <si>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</si>
  <si>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</si>
  <si>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</si>
  <si>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</si>
  <si>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</si>
  <si>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</si>
  <si>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</si>
  <si>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</si>
  <si>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</si>
  <si>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</si>
  <si>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</si>
  <si>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</si>
  <si>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</si>
  <si>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</si>
  <si>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</si>
  <si>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</si>
  <si>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</si>
  <si>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</si>
  <si>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</si>
  <si>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</si>
  <si>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</si>
  <si>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</si>
  <si>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</si>
  <si>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</si>
  <si>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</si>
  <si>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</si>
  <si>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</si>
  <si>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</si>
  <si>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</si>
  <si>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</si>
  <si>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</si>
  <si>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</si>
  <si>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</si>
  <si>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</si>
  <si>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</si>
  <si>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</si>
  <si>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</si>
  <si>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</si>
  <si>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</si>
  <si>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</si>
  <si>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</si>
  <si>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</si>
  <si>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</si>
  <si>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</si>
  <si>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</si>
  <si>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</si>
  <si>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</si>
  <si>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</si>
  <si>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</si>
  <si>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</si>
  <si>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</si>
  <si>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</si>
  <si>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</si>
  <si>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</si>
  <si>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</si>
  <si>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</si>
  <si>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</si>
  <si>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</si>
  <si>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</si>
  <si>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</si>
  <si>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</si>
  <si>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</si>
  <si>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</si>
  <si>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</si>
  <si>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</si>
  <si>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</si>
  <si>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</si>
  <si>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</si>
  <si>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</si>
  <si>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</si>
  <si>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</si>
  <si>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</si>
  <si>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</si>
  <si>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</si>
  <si>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</si>
  <si>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</si>
  <si>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</si>
  <si>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</si>
  <si>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</si>
  <si>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</si>
  <si>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</si>
  <si>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</si>
  <si>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</si>
  <si>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</si>
  <si>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</si>
  <si>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</si>
  <si>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</si>
  <si>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</si>
  <si>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</si>
  <si>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</si>
  <si>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</si>
  <si>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</si>
  <si>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</si>
  <si>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</si>
  <si>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</si>
  <si>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</si>
  <si>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</si>
  <si>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</si>
  <si>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</si>
  <si>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</si>
  <si>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</si>
  <si>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</si>
  <si>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</si>
  <si>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</si>
  <si>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</si>
  <si>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</si>
  <si>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</si>
  <si>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</si>
  <si>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</si>
  <si>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</si>
  <si>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</si>
  <si>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</si>
  <si>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</si>
  <si>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</si>
  <si>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</si>
  <si>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</si>
  <si>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</si>
  <si>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</si>
  <si>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</si>
  <si>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</si>
  <si>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</si>
  <si>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</si>
  <si>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</si>
  <si>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</si>
  <si>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</si>
  <si>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</si>
  <si>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</si>
  <si>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</si>
  <si>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</si>
  <si>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</si>
  <si>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</si>
  <si>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</si>
  <si>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</si>
  <si>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</si>
  <si>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</si>
  <si>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</si>
  <si>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</si>
  <si>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</si>
  <si>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</si>
  <si>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</si>
  <si>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</si>
  <si>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</si>
  <si>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</si>
  <si>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</si>
  <si>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</si>
  <si>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</si>
  <si>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</si>
  <si>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</si>
  <si>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</si>
  <si>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</si>
  <si>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</si>
  <si>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</si>
  <si>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</si>
  <si>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</si>
  <si>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</si>
  <si>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</si>
  <si>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</si>
  <si>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</si>
  <si>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</si>
  <si>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</si>
  <si>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</si>
  <si>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</si>
  <si>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</si>
  <si>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</si>
  <si>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</si>
  <si>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</si>
  <si>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</si>
  <si>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</si>
  <si>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</si>
  <si>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</si>
  <si>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</si>
  <si>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</si>
  <si>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</si>
  <si>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</si>
  <si>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</si>
  <si>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</si>
  <si>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</si>
  <si>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</si>
  <si>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</si>
  <si>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</si>
  <si>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</si>
  <si>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</si>
  <si>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</si>
  <si>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</si>
  <si>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</si>
  <si>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</si>
  <si>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</si>
  <si>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</si>
  <si>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</si>
  <si>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</si>
  <si>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</si>
  <si>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</si>
  <si>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</si>
  <si>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</si>
  <si>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</si>
  <si>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</si>
  <si>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</si>
  <si>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</si>
  <si>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</si>
  <si>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</si>
  <si>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</si>
  <si>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</si>
  <si>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</si>
  <si>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</si>
  <si>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</si>
  <si>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</si>
  <si>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</si>
  <si>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</si>
  <si>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</si>
  <si>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</si>
  <si>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</si>
  <si>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</si>
  <si>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</si>
  <si>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</si>
  <si>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</si>
  <si>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</si>
  <si>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</si>
  <si>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</si>
  <si>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</si>
  <si>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</si>
  <si>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</si>
  <si>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</si>
  <si>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</si>
  <si>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</si>
  <si>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</si>
  <si>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</si>
  <si>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</si>
  <si>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</si>
  <si>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</si>
  <si>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</si>
  <si>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</si>
  <si>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</si>
  <si>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</si>
  <si>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</si>
  <si>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</si>
  <si>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</si>
  <si>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</si>
  <si>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</si>
  <si>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</si>
  <si>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</si>
  <si>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</si>
  <si>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</si>
  <si>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</si>
  <si>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</si>
  <si>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</si>
  <si>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</si>
  <si>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</si>
  <si>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</si>
  <si>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</si>
  <si>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</si>
  <si>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</si>
  <si>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</si>
  <si>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</si>
  <si>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</si>
  <si>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</si>
  <si>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</si>
  <si>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</si>
  <si>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</si>
  <si>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</si>
  <si>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</si>
  <si>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</si>
  <si>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</si>
  <si>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</si>
  <si>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</si>
  <si>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</si>
  <si>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</si>
  <si>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</si>
  <si>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</si>
  <si>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</si>
  <si>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</si>
  <si>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</si>
  <si>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</si>
  <si>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</si>
  <si>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</si>
  <si>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</si>
  <si>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</si>
  <si>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</si>
  <si>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</si>
  <si>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</si>
  <si>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</si>
  <si>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</si>
  <si>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</si>
  <si>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</si>
  <si>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</si>
  <si>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</si>
  <si>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</si>
  <si>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</si>
  <si>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</si>
  <si>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</si>
  <si>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</si>
  <si>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</si>
  <si>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</si>
  <si>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</si>
  <si>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</si>
  <si>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</si>
  <si>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</si>
  <si>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</si>
  <si>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</si>
  <si>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</si>
  <si>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</si>
  <si>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</si>
  <si>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</si>
  <si>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</si>
  <si>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</si>
  <si>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</si>
  <si>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</si>
  <si>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</si>
  <si>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</si>
  <si>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</si>
  <si>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</si>
  <si>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</si>
  <si>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</si>
  <si>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</si>
  <si>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</si>
  <si>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</si>
  <si>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</si>
  <si>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</si>
  <si>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</si>
  <si>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</si>
  <si>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</si>
  <si>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</si>
  <si>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</si>
  <si>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</si>
  <si>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</si>
  <si>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</si>
  <si>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</si>
  <si>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</si>
  <si>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</si>
  <si>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</si>
  <si>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</si>
  <si>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</si>
  <si>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</si>
  <si>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</si>
  <si>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</si>
  <si>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</si>
  <si>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</si>
  <si>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</si>
  <si>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</si>
  <si>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</si>
  <si>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</si>
  <si>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</si>
  <si>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</si>
  <si>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</si>
  <si>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</si>
  <si>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</si>
  <si>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</si>
  <si>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</si>
  <si>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</si>
  <si>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</si>
  <si>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</si>
  <si>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</si>
  <si>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</si>
  <si>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</si>
  <si>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</si>
  <si>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</si>
  <si>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</si>
  <si>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</si>
  <si>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</si>
  <si>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</si>
  <si>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</si>
  <si>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</si>
  <si>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</si>
  <si>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</si>
  <si>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</si>
  <si>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</si>
  <si>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</si>
  <si>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</si>
  <si>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</si>
  <si>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</si>
  <si>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</si>
  <si>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</si>
  <si>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</si>
  <si>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</si>
  <si>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</si>
  <si>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</si>
  <si>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</si>
  <si>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</si>
  <si>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</si>
  <si>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</si>
  <si>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</si>
  <si>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</si>
  <si>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</si>
  <si>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</si>
  <si>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</si>
  <si>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</si>
  <si>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</si>
  <si>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</si>
  <si>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</si>
  <si>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</si>
  <si>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</si>
  <si>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</si>
  <si>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</si>
  <si>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</si>
  <si>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</si>
  <si>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</si>
  <si>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</si>
  <si>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</si>
  <si>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</si>
  <si>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</si>
  <si>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</si>
  <si>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</si>
  <si>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</si>
  <si>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</si>
  <si>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</si>
  <si>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</si>
  <si>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</si>
  <si>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</si>
  <si>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</si>
  <si>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</si>
  <si>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</si>
  <si>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</si>
  <si>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</si>
  <si>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</si>
  <si>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</si>
  <si>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</si>
  <si>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</si>
  <si>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</si>
  <si>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</si>
  <si>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</si>
  <si>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</si>
  <si>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</si>
  <si>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</si>
  <si>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</si>
  <si>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</si>
  <si>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</si>
  <si>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</si>
  <si>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</si>
  <si>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</si>
  <si>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</si>
  <si>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</si>
  <si>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</si>
  <si>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</si>
  <si>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</si>
  <si>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</si>
  <si>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</si>
  <si>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</si>
  <si>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</si>
  <si>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</si>
  <si>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</si>
  <si>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</si>
  <si>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</si>
  <si>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</si>
  <si>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</si>
  <si>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</si>
  <si>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</si>
  <si>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</si>
  <si>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</si>
  <si>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</si>
  <si>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</si>
  <si>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</si>
  <si>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</si>
  <si>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</si>
  <si>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</si>
  <si>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</si>
  <si>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</si>
  <si>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</si>
  <si>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</si>
  <si>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</si>
  <si>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</si>
  <si>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</si>
  <si>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</si>
  <si>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</si>
  <si>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</si>
  <si>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</si>
  <si>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</si>
  <si>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</si>
  <si>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</si>
  <si>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</si>
  <si>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</si>
  <si>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</si>
  <si>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</si>
  <si>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</si>
  <si>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</si>
  <si>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</si>
  <si>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</si>
  <si>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</si>
  <si>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</si>
  <si>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</si>
  <si>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</si>
  <si>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</si>
  <si>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</si>
  <si>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</si>
  <si>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</si>
  <si>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</si>
  <si>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</si>
  <si>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</si>
  <si>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</si>
  <si>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</si>
  <si>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</si>
  <si>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</si>
  <si>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</si>
  <si>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</si>
  <si>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</si>
  <si>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</si>
  <si>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</si>
  <si>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</si>
  <si>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</si>
  <si>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</si>
  <si>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</si>
  <si>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</si>
  <si>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</si>
  <si>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</si>
  <si>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</si>
  <si>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</si>
  <si>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</si>
  <si>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</si>
  <si>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</si>
  <si>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</si>
  <si>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</si>
  <si>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</si>
  <si>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</si>
  <si>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</si>
  <si>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</si>
  <si>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</si>
  <si>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</si>
  <si>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</si>
  <si>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</si>
  <si>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</si>
  <si>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</si>
  <si>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</si>
  <si>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</si>
  <si>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</si>
  <si>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</si>
  <si>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</si>
  <si>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</si>
  <si>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</si>
  <si>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</si>
  <si>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</si>
  <si>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</si>
  <si>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</si>
  <si>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</si>
  <si>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</si>
  <si>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</si>
  <si>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</si>
  <si>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</si>
  <si>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</si>
  <si>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</si>
  <si>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</si>
  <si>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</si>
  <si>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</si>
  <si>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</si>
  <si>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</si>
  <si>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</si>
  <si>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</si>
  <si>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</si>
  <si>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</si>
  <si>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</si>
  <si>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</si>
  <si>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</si>
  <si>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</si>
  <si>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</si>
  <si>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</si>
  <si>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</si>
  <si>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</si>
  <si>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</si>
  <si>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</si>
  <si>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</si>
  <si>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</si>
  <si>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</si>
  <si>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</si>
  <si>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</si>
  <si>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</si>
  <si>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</si>
  <si>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</si>
  <si>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</si>
  <si>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</si>
  <si>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</si>
  <si>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</si>
  <si>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</si>
  <si>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</si>
  <si>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</si>
  <si>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</si>
  <si>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</si>
  <si>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</si>
  <si>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</si>
  <si>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</si>
  <si>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</si>
  <si>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</si>
  <si>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</si>
  <si>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</si>
  <si>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</si>
  <si>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</si>
  <si>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</si>
  <si>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</si>
  <si>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</si>
  <si>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</si>
  <si>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</si>
  <si>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</si>
  <si>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</si>
  <si>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</si>
  <si>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</si>
  <si>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</si>
  <si>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</si>
  <si>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</si>
  <si>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</si>
  <si>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</si>
  <si>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</si>
  <si>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</si>
  <si>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</si>
  <si>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</si>
  <si>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</si>
  <si>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</si>
  <si>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</si>
  <si>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</si>
  <si>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</si>
  <si>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</si>
  <si>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</si>
  <si>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</si>
  <si>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</si>
  <si>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</si>
  <si>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</si>
  <si>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</si>
  <si>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</si>
  <si>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</si>
  <si>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</si>
  <si>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</si>
  <si>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</si>
  <si>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</si>
  <si>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</si>
  <si>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</si>
  <si>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</si>
  <si>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</si>
  <si>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</si>
  <si>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</si>
  <si>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</si>
  <si>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</si>
  <si>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</si>
  <si>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</si>
  <si>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</si>
  <si>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</si>
  <si>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</si>
  <si>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</si>
  <si>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</si>
  <si>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</si>
  <si>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</si>
  <si>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</si>
  <si>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</si>
  <si>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</si>
  <si>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</si>
  <si>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</si>
  <si>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</si>
  <si>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</si>
  <si>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</si>
  <si>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</si>
  <si>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</si>
  <si>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</si>
  <si>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</si>
  <si>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</si>
  <si>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</si>
  <si>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</si>
  <si>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</si>
  <si>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</si>
  <si>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</si>
  <si>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</si>
  <si>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</si>
  <si>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</si>
  <si>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</si>
  <si>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</si>
  <si>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</si>
  <si>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</si>
  <si>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</si>
  <si>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</si>
  <si>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</si>
  <si>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</si>
  <si>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</si>
  <si>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</si>
  <si>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</si>
  <si>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</si>
  <si>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</si>
  <si>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</si>
  <si>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</si>
  <si>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</si>
  <si>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RT-407236/407236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</si>
  <si>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</si>
  <si>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</si>
  <si>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</si>
  <si>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</si>
  <si>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</si>
  <si>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</si>
  <si>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</si>
  <si>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</si>
  <si>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</si>
  <si>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</si>
  <si>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</si>
  <si>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</si>
  <si>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</si>
  <si>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</si>
  <si>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</si>
  <si>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</si>
  <si>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</si>
  <si>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</si>
  <si>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</si>
  <si>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</si>
  <si>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</si>
  <si>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</si>
  <si>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</si>
  <si>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</si>
  <si>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</si>
  <si>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</si>
  <si>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</si>
  <si>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</si>
  <si>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</si>
  <si>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</si>
  <si>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</si>
  <si>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</si>
  <si>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</si>
  <si>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</si>
  <si>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</si>
  <si>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</si>
  <si>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</si>
  <si>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</si>
  <si>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</si>
  <si>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</si>
  <si>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</si>
  <si>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</si>
  <si>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</si>
  <si>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</si>
  <si>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</si>
  <si>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</si>
  <si>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</si>
  <si>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</si>
  <si>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</si>
  <si>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</si>
  <si>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</si>
  <si>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</si>
  <si>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</si>
  <si>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</si>
  <si>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</si>
  <si>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</si>
  <si>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</si>
  <si>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</si>
  <si>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</si>
  <si>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</si>
  <si>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</si>
  <si>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</si>
  <si>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</si>
  <si>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</si>
  <si>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</si>
  <si>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</si>
  <si>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</si>
  <si>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</si>
  <si>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</si>
  <si>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</si>
  <si>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</si>
  <si>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</si>
  <si>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</si>
  <si>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</si>
  <si>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</si>
  <si>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</si>
  <si>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</si>
  <si>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</si>
  <si>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</si>
  <si>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</si>
  <si>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</si>
  <si>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</si>
  <si>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</si>
  <si>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</si>
  <si>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</si>
  <si>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</si>
  <si>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</si>
  <si>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</si>
  <si>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</si>
  <si>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</si>
  <si>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</si>
  <si>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</si>
  <si>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</si>
  <si>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</si>
  <si>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</si>
  <si>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</si>
  <si>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</si>
  <si>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</si>
  <si>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</si>
  <si>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</si>
  <si>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</si>
  <si>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</si>
  <si>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</si>
  <si>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</si>
  <si>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</si>
  <si>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</si>
  <si>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</si>
  <si>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</si>
  <si>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</si>
  <si>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</si>
  <si>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</si>
  <si>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</si>
  <si>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</si>
  <si>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</si>
  <si>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</si>
  <si>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</si>
  <si>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</si>
  <si>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</si>
  <si>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</si>
  <si>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</si>
  <si>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</si>
  <si>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</si>
  <si>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</si>
  <si>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</si>
  <si>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</si>
  <si>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</si>
  <si>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</si>
  <si>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</si>
  <si>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</si>
  <si>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</si>
  <si>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</si>
  <si>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</si>
  <si>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</si>
  <si>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</si>
  <si>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</si>
  <si>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</si>
  <si>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</si>
  <si>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</si>
  <si>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</si>
  <si>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</si>
  <si>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</si>
  <si>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</si>
  <si>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</si>
  <si>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</si>
  <si>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</si>
  <si>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</si>
  <si>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</si>
  <si>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</si>
  <si>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</si>
  <si>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</si>
  <si>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</si>
  <si>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</si>
  <si>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</si>
  <si>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</si>
  <si>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</si>
  <si>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</si>
  <si>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</si>
  <si>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</si>
  <si>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</si>
  <si>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</si>
  <si>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</si>
  <si>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</si>
  <si>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</si>
  <si>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</si>
  <si>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</si>
  <si>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</si>
  <si>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</si>
  <si>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</si>
  <si>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</si>
  <si>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</si>
  <si>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</si>
  <si>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</si>
  <si>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</si>
  <si>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</si>
  <si>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</si>
  <si>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</si>
  <si>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</si>
  <si>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</si>
  <si>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</si>
  <si>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</si>
  <si>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</si>
  <si>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</si>
  <si>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</si>
  <si>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</si>
  <si>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</si>
  <si>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</si>
  <si>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</si>
  <si>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</si>
  <si>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</si>
  <si>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</si>
  <si>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</si>
  <si>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</si>
  <si>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</si>
  <si>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</si>
  <si>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</si>
  <si>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</si>
  <si>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</si>
  <si>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</si>
  <si>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</si>
  <si>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</si>
  <si>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</si>
  <si>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</si>
  <si>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</si>
  <si>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</si>
  <si>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</si>
  <si>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</si>
  <si>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</si>
  <si>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</si>
  <si>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</si>
  <si>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</si>
  <si>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</si>
  <si>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</si>
  <si>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</si>
  <si>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</si>
  <si>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</si>
  <si>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</si>
  <si>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</si>
  <si>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</si>
  <si>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</si>
  <si>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</si>
  <si>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</si>
  <si>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</si>
  <si>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</si>
  <si>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</si>
  <si>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</si>
  <si>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</si>
  <si>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</si>
  <si>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</si>
  <si>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</si>
  <si>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</si>
  <si>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</si>
  <si>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</si>
  <si>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</si>
  <si>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</si>
  <si>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</si>
  <si>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</si>
  <si>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</si>
  <si>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</si>
  <si>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</si>
  <si>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</si>
  <si>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</si>
  <si>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</si>
  <si>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</si>
  <si>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</si>
  <si>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</si>
  <si>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</si>
  <si>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</si>
  <si>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</si>
  <si>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</si>
  <si>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</si>
  <si>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</si>
  <si>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</si>
  <si>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</si>
  <si>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</si>
  <si>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</si>
  <si>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</si>
  <si>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</si>
  <si>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</si>
  <si>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</si>
  <si>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</si>
  <si>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</si>
  <si>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</si>
  <si>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</si>
  <si>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</si>
  <si>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</si>
  <si>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</si>
  <si>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</si>
  <si>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</si>
  <si>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</si>
  <si>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</si>
  <si>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</si>
  <si>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</si>
  <si>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</si>
  <si>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</si>
  <si>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</si>
  <si>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</si>
  <si>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</si>
  <si>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</si>
  <si>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</si>
  <si>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</si>
  <si>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</si>
  <si>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</si>
  <si>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</si>
  <si>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</si>
  <si>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</si>
  <si>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</si>
  <si>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</si>
  <si>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</si>
  <si>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</si>
  <si>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</si>
  <si>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</si>
  <si>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</si>
  <si>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</si>
  <si>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</si>
  <si>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</si>
  <si>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</si>
  <si>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</si>
  <si>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</si>
  <si>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</si>
  <si>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</si>
  <si>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</si>
  <si>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</si>
  <si>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</si>
  <si>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</si>
  <si>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</si>
  <si>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</si>
  <si>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</si>
  <si>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</si>
  <si>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</si>
  <si>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</si>
  <si>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</si>
  <si>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</si>
  <si>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</si>
  <si>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</si>
  <si>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</si>
  <si>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</si>
  <si>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</si>
  <si>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</si>
  <si>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</si>
  <si>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</si>
  <si>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</si>
  <si>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</si>
  <si>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</si>
  <si>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</si>
  <si>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</si>
  <si>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</si>
  <si>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</si>
  <si>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</si>
  <si>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</si>
  <si>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</si>
  <si>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</si>
  <si>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</si>
  <si>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</si>
  <si>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</si>
  <si>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</si>
  <si>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</si>
  <si>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</si>
  <si>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</si>
  <si>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</si>
  <si>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</si>
  <si>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</si>
  <si>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</si>
  <si>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</si>
  <si>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</si>
  <si>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</si>
  <si>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</si>
  <si>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</si>
  <si>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</si>
  <si>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</si>
  <si>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</si>
  <si>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</si>
  <si>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</si>
  <si>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</si>
  <si>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</si>
  <si>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</si>
  <si>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</si>
  <si>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</si>
  <si>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</si>
  <si>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</si>
  <si>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</si>
  <si>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</si>
  <si>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</si>
  <si>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</si>
  <si>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</si>
  <si>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</si>
  <si>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</si>
  <si>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</si>
  <si>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</si>
  <si>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</si>
  <si>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</si>
  <si>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</si>
  <si>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</si>
  <si>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</si>
  <si>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</si>
  <si>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</si>
  <si>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</si>
  <si>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</si>
  <si>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</si>
  <si>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</si>
  <si>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</si>
  <si>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</si>
  <si>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</si>
  <si>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</si>
  <si>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</si>
  <si>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</si>
  <si>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</si>
  <si>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</si>
  <si>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</si>
  <si>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</si>
  <si>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</si>
  <si>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</si>
  <si>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</si>
  <si>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</si>
  <si>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</si>
  <si>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</si>
  <si>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</si>
  <si>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</si>
  <si>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</si>
  <si>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</si>
  <si>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</si>
  <si>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</si>
  <si>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</si>
  <si>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</si>
  <si>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</si>
  <si>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</si>
  <si>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</si>
  <si>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</si>
  <si>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</si>
  <si>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</si>
  <si>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</si>
  <si>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</si>
  <si>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</si>
  <si>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</si>
  <si>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</si>
  <si>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</si>
  <si>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</si>
  <si>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</si>
  <si>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</si>
  <si>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</si>
  <si>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</si>
  <si>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</si>
  <si>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</si>
  <si>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</si>
  <si>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</si>
  <si>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</si>
  <si>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</si>
  <si>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</si>
  <si>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</si>
  <si>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</si>
  <si>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</si>
  <si>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</si>
  <si>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</si>
  <si>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</si>
  <si>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</si>
  <si>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</si>
  <si>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</si>
  <si>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</si>
  <si>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</si>
  <si>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</si>
  <si>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</si>
  <si>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</si>
  <si>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</si>
  <si>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</si>
  <si>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</si>
  <si>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</si>
  <si>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</si>
  <si>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</si>
  <si>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</si>
  <si>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</si>
  <si>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</si>
  <si>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</si>
  <si>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</si>
  <si>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</si>
  <si>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</si>
  <si>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</si>
  <si>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</si>
  <si>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</si>
  <si>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</si>
  <si>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</si>
  <si>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</si>
  <si>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</si>
  <si>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</si>
  <si>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</si>
  <si>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</si>
  <si>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</si>
  <si>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</si>
  <si>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</si>
  <si>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</si>
  <si>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</si>
  <si>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</si>
  <si>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</si>
  <si>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</si>
  <si>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</si>
  <si>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</si>
  <si>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</si>
  <si>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</si>
  <si>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</si>
  <si>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</si>
  <si>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</si>
  <si>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</si>
  <si>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</si>
  <si>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</si>
  <si>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</si>
  <si>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</si>
  <si>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</si>
  <si>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</si>
  <si>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</si>
  <si>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</si>
  <si>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</si>
  <si>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</si>
  <si>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</si>
  <si>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</si>
  <si>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</si>
  <si>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</si>
  <si>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</si>
  <si>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</si>
  <si>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</si>
  <si>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</si>
  <si>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</si>
  <si>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</si>
  <si>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</si>
  <si>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</si>
  <si>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</si>
  <si>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</si>
  <si>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</si>
  <si>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</si>
  <si>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</si>
  <si>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</si>
  <si>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</si>
  <si>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</si>
  <si>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</si>
  <si>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</si>
  <si>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</si>
  <si>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</si>
  <si>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</si>
  <si>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</si>
  <si>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</si>
  <si>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</si>
  <si>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</si>
  <si>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</si>
  <si>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</si>
  <si>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</si>
  <si>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</si>
  <si>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</si>
  <si>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</si>
  <si>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</si>
  <si>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</si>
  <si>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</si>
  <si>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</si>
  <si>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</si>
  <si>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</si>
  <si>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</si>
  <si>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</si>
  <si>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</si>
  <si>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</si>
  <si>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</si>
  <si>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</si>
  <si>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</si>
  <si>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</si>
  <si>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</si>
  <si>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</si>
  <si>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</si>
  <si>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</si>
  <si>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</si>
  <si>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</si>
  <si>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</si>
  <si>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</si>
  <si>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</si>
  <si>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</si>
  <si>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</si>
  <si>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</si>
  <si>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</si>
  <si>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</si>
  <si>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</si>
  <si>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</si>
  <si>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</si>
  <si>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</si>
  <si>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</si>
  <si>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</si>
  <si>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</si>
  <si>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</si>
  <si>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</si>
  <si>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</si>
  <si>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</si>
  <si>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</si>
  <si>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</si>
  <si>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</si>
  <si>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</si>
  <si>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</si>
  <si>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</si>
  <si>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</si>
  <si>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</si>
  <si>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</si>
  <si>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</si>
  <si>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</si>
  <si>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</si>
  <si>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</si>
  <si>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</si>
  <si>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</si>
  <si>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</si>
  <si>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</si>
  <si>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</si>
  <si>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</si>
  <si>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</si>
  <si>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</si>
  <si>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</si>
  <si>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</si>
  <si>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</si>
  <si>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</si>
  <si>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</si>
  <si>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</si>
  <si>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</si>
  <si>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</si>
  <si>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</si>
  <si>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</si>
  <si>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</si>
  <si>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</si>
  <si>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</si>
  <si>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</si>
  <si>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</si>
  <si>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</si>
  <si>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</si>
  <si>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</si>
  <si>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</si>
  <si>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</si>
  <si>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</si>
  <si>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</si>
  <si>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</si>
  <si>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</si>
  <si>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</si>
  <si>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</si>
  <si>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</si>
  <si>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</si>
  <si>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</si>
  <si>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</si>
  <si>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</si>
  <si>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</si>
  <si>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</si>
  <si>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</si>
  <si>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</si>
  <si>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</si>
  <si>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</si>
  <si>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</si>
  <si>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</si>
  <si>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</si>
  <si>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</si>
  <si>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</si>
  <si>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</si>
  <si>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</si>
  <si>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</si>
  <si>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</si>
  <si>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</si>
  <si>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</si>
  <si>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</si>
  <si>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</si>
  <si>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</si>
  <si>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</si>
  <si>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</si>
  <si>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</si>
  <si>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</si>
  <si>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</si>
  <si>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</si>
  <si>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</si>
  <si>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</si>
  <si>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</si>
  <si>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</si>
  <si>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</si>
  <si>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</si>
  <si>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</si>
  <si>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</si>
  <si>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</si>
  <si>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</si>
  <si>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</si>
  <si>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</si>
  <si>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</si>
  <si>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</si>
  <si>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</si>
  <si>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</si>
  <si>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</si>
  <si>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</si>
  <si>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</si>
  <si>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</si>
  <si>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</si>
  <si>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</si>
  <si>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</si>
  <si>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</si>
  <si>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</si>
  <si>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</si>
  <si>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</si>
  <si>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</si>
  <si>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</si>
  <si>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</si>
  <si>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</si>
  <si>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</si>
  <si>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</si>
  <si>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</si>
  <si>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</si>
  <si>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</si>
  <si>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</si>
  <si>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</si>
  <si>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</si>
  <si>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</si>
  <si>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</si>
  <si>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</si>
  <si>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</si>
  <si>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</si>
  <si>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</si>
  <si>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</si>
  <si>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</si>
  <si>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</si>
  <si>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</si>
  <si>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</si>
  <si>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</si>
  <si>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</si>
  <si>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</si>
  <si>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</si>
  <si>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</si>
  <si>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</si>
  <si>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</si>
  <si>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</si>
  <si>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</si>
  <si>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</si>
  <si>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</si>
  <si>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</si>
  <si>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</si>
  <si>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</si>
  <si>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</si>
  <si>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</si>
  <si>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</si>
  <si>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</si>
  <si>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</si>
  <si>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</si>
  <si>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</si>
  <si>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</si>
  <si>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</si>
  <si>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</si>
  <si>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</si>
  <si>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</si>
  <si>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</si>
  <si>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</si>
  <si>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</si>
  <si>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</si>
  <si>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</si>
  <si>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</si>
  <si>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</si>
  <si>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</si>
  <si>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</si>
  <si>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</si>
  <si>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</si>
  <si>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</si>
  <si>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</si>
  <si>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</si>
  <si>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</si>
  <si>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</si>
  <si>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</si>
  <si>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</si>
  <si>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</si>
  <si>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</si>
  <si>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</si>
  <si>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</si>
  <si>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</si>
  <si>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</si>
  <si>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</si>
  <si>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</si>
  <si>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</si>
  <si>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</si>
  <si>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</si>
  <si>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</si>
  <si>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</si>
  <si>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</si>
  <si>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</si>
  <si>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</si>
  <si>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</si>
  <si>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</si>
  <si>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</si>
  <si>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</si>
  <si>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</si>
  <si>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</si>
  <si>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</si>
  <si>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</si>
  <si>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</si>
  <si>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</si>
  <si>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</si>
  <si>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</si>
  <si>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</si>
  <si>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</si>
  <si>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</si>
  <si>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</si>
  <si>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</si>
  <si>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</si>
  <si>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</si>
  <si>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</si>
  <si>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</si>
  <si>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</si>
  <si>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</si>
  <si>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</si>
  <si>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</si>
  <si>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</si>
  <si>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</si>
  <si>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</si>
  <si>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</si>
  <si>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</si>
  <si>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</si>
  <si>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</si>
  <si>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</si>
  <si>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</si>
  <si>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</si>
  <si>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</si>
  <si>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</si>
  <si>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</si>
  <si>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</si>
  <si>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</si>
  <si>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</si>
  <si>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</si>
  <si>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</si>
  <si>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</si>
  <si>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</si>
  <si>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</si>
  <si>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</si>
  <si>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</si>
  <si>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</si>
  <si>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</si>
  <si>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</si>
  <si>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</si>
  <si>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</si>
  <si>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</si>
  <si>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</si>
  <si>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</si>
  <si>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</si>
  <si>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</si>
  <si>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</si>
  <si>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</si>
  <si>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</si>
  <si>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</si>
  <si>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</si>
  <si>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</si>
  <si>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</si>
  <si>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</si>
  <si>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</si>
  <si>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</si>
  <si>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</si>
  <si>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</si>
  <si>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</si>
  <si>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</si>
  <si>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</si>
  <si>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</si>
  <si>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</si>
  <si>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</si>
  <si>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</si>
  <si>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</si>
  <si>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</si>
  <si>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</si>
  <si>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</si>
  <si>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</si>
  <si>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</si>
  <si>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</si>
  <si>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</si>
  <si>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</si>
  <si>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</si>
  <si>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</si>
  <si>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</si>
  <si>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</si>
  <si>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</si>
  <si>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</si>
  <si>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</si>
  <si>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</si>
  <si>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</si>
  <si>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</si>
  <si>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</si>
  <si>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</si>
  <si>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</si>
  <si>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</si>
  <si>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</si>
  <si>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</si>
  <si>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</si>
  <si>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</si>
  <si>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</si>
  <si>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</si>
  <si>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</si>
  <si>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</si>
  <si>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</si>
  <si>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</si>
  <si>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</si>
  <si>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</si>
  <si>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</si>
  <si>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</si>
  <si>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</si>
  <si>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</si>
  <si>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</si>
  <si>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</si>
  <si>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</si>
  <si>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</si>
  <si>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</si>
  <si>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63/22C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</si>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</sst>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6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44" fontId="1" fillId="0" borderId="0" applyFont="0" applyFill="0" applyBorder="0" applyAlignment="0" applyProtection="0"/>
  </cellStyleXfs>
  <cellXfs count="178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8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2" fillId="0" borderId="10" xfId="0" applyFont="1" applyBorder="1"/>
    <xf numFmtId="1" fontId="0" fillId="0" borderId="0" xfId="0" applyNumberFormat="1"/>
    <xf numFmtId="0" fontId="48" fillId="0" borderId="10" xfId="0" applyFont="1" applyFill="1" applyBorder="1" applyAlignment="1">
      <alignment vertical="center" wrapText="1"/>
    </xf>
    <xf numFmtId="0" fontId="48" fillId="34" borderId="10" xfId="0" applyFont="1" applyFill="1" applyBorder="1" applyAlignment="1">
      <alignment vertical="center" wrapText="1"/>
    </xf>
    <xf numFmtId="0" fontId="48" fillId="0" borderId="10" xfId="0" applyFont="1" applyFill="1" applyBorder="1" applyAlignment="1">
      <alignment vertical="center"/>
    </xf>
    <xf numFmtId="0" fontId="38" fillId="0" borderId="10" xfId="0" applyFont="1" applyBorder="1"/>
    <xf numFmtId="0" fontId="0" fillId="0" borderId="0" xfId="0" applyBorder="1"/>
    <xf numFmtId="0" fontId="48" fillId="0" borderId="0" xfId="0" applyFont="1" applyFill="1" applyBorder="1" applyAlignment="1">
      <alignment vertical="center" wrapText="1"/>
    </xf>
    <xf numFmtId="0" fontId="38" fillId="0" borderId="0" xfId="0" applyFont="1" applyBorder="1"/>
    <xf numFmtId="0" fontId="50" fillId="0" borderId="10" xfId="0" applyFont="1" applyFill="1" applyBorder="1" applyAlignment="1">
      <alignment vertical="center" wrapText="1"/>
    </xf>
    <xf numFmtId="0" fontId="49" fillId="0" borderId="0" xfId="0" applyFont="1" applyFill="1" applyBorder="1" applyAlignment="1">
      <alignment vertical="center" wrapText="1"/>
    </xf>
    <xf numFmtId="0" fontId="30" fillId="0" borderId="0" xfId="0" applyFont="1"/>
    <xf numFmtId="0" fontId="31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9" fillId="0" borderId="0" xfId="0" applyFont="1"/>
    <xf numFmtId="0" fontId="0" fillId="0" borderId="10" xfId="0" applyBorder="1" applyAlignment="1">
      <alignment vertical="top"/>
    </xf>
    <xf numFmtId="0" fontId="39" fillId="0" borderId="0" xfId="0" applyFont="1" applyAlignment="1">
      <alignment horizontal="left"/>
    </xf>
    <xf numFmtId="0" fontId="42" fillId="0" borderId="0" xfId="0" applyFont="1"/>
    <xf numFmtId="0" fontId="16" fillId="0" borderId="0" xfId="0" applyFont="1"/>
    <xf numFmtId="0" fontId="51" fillId="0" borderId="0" xfId="0" applyFont="1"/>
    <xf numFmtId="0" fontId="55" fillId="0" borderId="0" xfId="0" applyFont="1"/>
    <xf numFmtId="0" fontId="56" fillId="0" borderId="0" xfId="0" applyFont="1"/>
    <xf numFmtId="0" fontId="57" fillId="35" borderId="16" xfId="0" applyFont="1" applyFill="1" applyBorder="1" applyAlignment="1">
      <alignment vertical="center" wrapText="1"/>
    </xf>
    <xf numFmtId="0" fontId="32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2" fillId="0" borderId="0" xfId="0" applyFont="1"/>
    <xf numFmtId="0" fontId="30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0" fillId="0" borderId="10" xfId="0" applyBorder="1" applyAlignment="1"/>
    <xf numFmtId="0" fontId="31" fillId="0" borderId="10" xfId="0" applyFont="1" applyBorder="1"/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39" fillId="0" borderId="10" xfId="0" applyFont="1" applyBorder="1" applyAlignment="1">
      <alignment horizontal="left" vertical="center"/>
    </xf>
    <xf numFmtId="0" fontId="58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5" fillId="0" borderId="10" xfId="0" applyFont="1" applyFill="1" applyBorder="1" applyAlignment="1">
      <alignment horizontal="left"/>
    </xf>
    <xf numFmtId="0" fontId="23" fillId="33" borderId="10" xfId="0" applyFont="1" applyFill="1" applyBorder="1" applyAlignment="1">
      <alignment horizontal="center" vertical="top" wrapText="1"/>
    </xf>
    <xf numFmtId="0" fontId="29" fillId="33" borderId="10" xfId="0" applyFont="1" applyFill="1" applyBorder="1" applyAlignment="1">
      <alignment horizontal="left" vertical="top" wrapText="1"/>
    </xf>
    <xf numFmtId="0" fontId="25" fillId="33" borderId="10" xfId="0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0" borderId="10" xfId="0" applyBorder="1" applyAlignment="1">
      <alignment horizontal="right" vertical="top"/>
    </xf>
    <xf numFmtId="0" fontId="57" fillId="35" borderId="10" xfId="0" applyFont="1" applyFill="1" applyBorder="1" applyAlignment="1">
      <alignment vertical="center" wrapText="1"/>
    </xf>
    <xf numFmtId="0" fontId="57" fillId="0" borderId="10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35" borderId="0" xfId="0" applyFont="1" applyFill="1" applyBorder="1" applyAlignment="1">
      <alignment vertical="center" wrapText="1"/>
    </xf>
    <xf numFmtId="0" fontId="18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9" fillId="0" borderId="10" xfId="0" applyFont="1" applyBorder="1" applyAlignment="1">
      <alignment horizontal="center" vertical="center"/>
    </xf>
    <xf numFmtId="0" fontId="44" fillId="0" borderId="10" xfId="0" applyFont="1" applyFill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2" fontId="32" fillId="0" borderId="10" xfId="0" applyNumberFormat="1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/>
    </xf>
    <xf numFmtId="0" fontId="45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32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/>
      <protection locked="0"/>
    </xf>
    <xf numFmtId="0" fontId="34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4" fillId="0" borderId="10" xfId="0" applyFont="1" applyFill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 wrapText="1"/>
      <protection locked="0"/>
    </xf>
    <xf numFmtId="0" fontId="30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54" fillId="0" borderId="10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33" fillId="33" borderId="10" xfId="0" applyFont="1" applyFill="1" applyBorder="1" applyAlignment="1">
      <alignment horizontal="center" vertical="center" wrapText="1"/>
    </xf>
    <xf numFmtId="0" fontId="53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1" fontId="35" fillId="0" borderId="10" xfId="0" applyNumberFormat="1" applyFont="1" applyFill="1" applyBorder="1" applyAlignment="1">
      <alignment horizontal="center" vertical="center" shrinkToFit="1"/>
    </xf>
    <xf numFmtId="0" fontId="34" fillId="0" borderId="10" xfId="0" applyFont="1" applyFill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2" fontId="32" fillId="0" borderId="10" xfId="0" applyNumberFormat="1" applyFont="1" applyFill="1" applyBorder="1" applyAlignment="1">
      <alignment horizontal="center" vertical="center"/>
    </xf>
    <xf numFmtId="0" fontId="40" fillId="0" borderId="10" xfId="0" applyFont="1" applyBorder="1" applyAlignment="1">
      <alignment horizontal="center" vertical="center" wrapText="1"/>
    </xf>
    <xf numFmtId="0" fontId="40" fillId="0" borderId="10" xfId="0" applyFont="1" applyFill="1" applyBorder="1" applyAlignment="1">
      <alignment horizontal="center" vertical="center"/>
    </xf>
    <xf numFmtId="0" fontId="38" fillId="0" borderId="10" xfId="0" applyFont="1" applyFill="1" applyBorder="1" applyAlignment="1">
      <alignment horizontal="center" vertical="center"/>
    </xf>
    <xf numFmtId="0" fontId="40" fillId="0" borderId="10" xfId="0" applyFont="1" applyBorder="1" applyAlignment="1" applyProtection="1">
      <alignment horizontal="center" vertical="center" wrapText="1"/>
      <protection locked="0"/>
    </xf>
    <xf numFmtId="0" fontId="40" fillId="0" borderId="10" xfId="0" applyFont="1" applyBorder="1" applyAlignment="1">
      <alignment horizontal="center" vertical="center"/>
    </xf>
    <xf numFmtId="0" fontId="40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6" fillId="0" borderId="10" xfId="0" applyFont="1" applyFill="1" applyBorder="1" applyAlignment="1">
      <alignment horizontal="center" vertical="center" wrapText="1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60" fillId="0" borderId="10" xfId="0" applyFont="1" applyBorder="1" applyAlignment="1">
      <alignment horizontal="center" vertical="center"/>
    </xf>
    <xf numFmtId="44" fontId="59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1" fillId="0" borderId="10" xfId="0" applyFont="1" applyFill="1" applyBorder="1" applyAlignment="1">
      <alignment horizontal="left" vertical="center"/>
    </xf>
    <xf numFmtId="9" fontId="31" fillId="0" borderId="10" xfId="0" applyNumberFormat="1" applyFont="1" applyBorder="1" applyAlignment="1">
      <alignment horizontal="left" vertical="center"/>
    </xf>
    <xf numFmtId="0" fontId="31" fillId="0" borderId="10" xfId="0" applyNumberFormat="1" applyFont="1" applyBorder="1" applyAlignment="1">
      <alignment horizontal="left" vertical="center"/>
    </xf>
    <xf numFmtId="0" fontId="39" fillId="0" borderId="11" xfId="0" applyFont="1" applyFill="1" applyBorder="1" applyAlignment="1">
      <alignment horizontal="left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iyus\OneDrive\Desktop\bk\stock\public\BOSCH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452"/>
  <sheetViews>
    <sheetView zoomScale="110" zoomScaleNormal="110" workbookViewId="0">
      <selection activeCell="C15" sqref="C15"/>
    </sheetView>
  </sheetViews>
  <sheetFormatPr defaultRowHeight="15" x14ac:dyDescent="0.25"/>
  <cols>
    <col min="1" max="1" width="6.5703125" customWidth="1"/>
    <col min="2" max="2" width="11.5703125" style="4" customWidth="1"/>
    <col min="3" max="3" width="41.140625" customWidth="1"/>
    <col min="4" max="4" width="11.7109375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 x14ac:dyDescent="0.35">
      <c r="A1" s="91" t="s">
        <v>592</v>
      </c>
      <c r="B1" s="91" t="s">
        <v>449</v>
      </c>
      <c r="C1" s="91" t="s">
        <v>4654</v>
      </c>
      <c r="D1" s="91" t="s">
        <v>593</v>
      </c>
      <c r="E1" s="92" t="s">
        <v>594</v>
      </c>
      <c r="F1" s="91" t="s">
        <v>595</v>
      </c>
      <c r="G1" s="9"/>
      <c r="H1" s="6"/>
      <c r="I1" s="6" t="s">
        <v>218</v>
      </c>
      <c r="J1" s="6" t="s">
        <v>219</v>
      </c>
      <c r="K1" s="6" t="s">
        <v>173</v>
      </c>
    </row>
    <row r="2" spans="1:15" x14ac:dyDescent="0.25">
      <c r="A2" s="7">
        <v>1</v>
      </c>
      <c r="B2" s="8">
        <v>26212731</v>
      </c>
      <c r="C2" s="8" t="s">
        <v>2731</v>
      </c>
      <c r="D2" s="7"/>
      <c r="E2" s="7">
        <v>0</v>
      </c>
      <c r="F2" s="8">
        <v>1831</v>
      </c>
      <c r="G2" s="8"/>
      <c r="H2" s="8"/>
      <c r="I2" s="7"/>
      <c r="J2" s="7"/>
      <c r="K2" s="8"/>
    </row>
    <row r="3" spans="1:15" x14ac:dyDescent="0.25">
      <c r="A3" s="7">
        <v>2</v>
      </c>
      <c r="B3" s="8">
        <v>26021138</v>
      </c>
      <c r="C3" s="8" t="s">
        <v>241</v>
      </c>
      <c r="D3" s="7"/>
      <c r="E3" s="7">
        <v>0</v>
      </c>
      <c r="F3" s="8">
        <v>9663</v>
      </c>
      <c r="G3" s="8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 x14ac:dyDescent="0.25">
      <c r="A4" s="7">
        <v>3</v>
      </c>
      <c r="B4" s="8">
        <v>26021304</v>
      </c>
      <c r="C4" s="8" t="s">
        <v>1233</v>
      </c>
      <c r="D4" s="7"/>
      <c r="E4" s="46">
        <v>0</v>
      </c>
      <c r="F4" s="8">
        <v>4827</v>
      </c>
      <c r="G4" s="8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 x14ac:dyDescent="0.25">
      <c r="A5" s="7">
        <v>4</v>
      </c>
      <c r="B5" s="8">
        <v>26041023</v>
      </c>
      <c r="C5" s="8" t="s">
        <v>242</v>
      </c>
      <c r="D5" s="7"/>
      <c r="E5" s="7">
        <v>0</v>
      </c>
      <c r="F5" s="8">
        <v>3104</v>
      </c>
      <c r="G5" s="8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 x14ac:dyDescent="0.25">
      <c r="A6" s="7">
        <v>5</v>
      </c>
      <c r="B6" s="8">
        <v>26075011</v>
      </c>
      <c r="C6" s="37" t="s">
        <v>424</v>
      </c>
      <c r="D6" s="7"/>
      <c r="E6" s="7">
        <v>0</v>
      </c>
      <c r="F6" s="8">
        <v>2131</v>
      </c>
      <c r="G6" s="8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 x14ac:dyDescent="0.25">
      <c r="A7" s="7">
        <v>6</v>
      </c>
      <c r="B7" s="8">
        <v>26211033</v>
      </c>
      <c r="C7" s="8" t="s">
        <v>2732</v>
      </c>
      <c r="D7" s="7"/>
      <c r="E7" s="7">
        <v>0</v>
      </c>
      <c r="F7" s="8">
        <v>1234</v>
      </c>
      <c r="G7" s="8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 x14ac:dyDescent="0.25">
      <c r="A8" s="7">
        <v>7</v>
      </c>
      <c r="B8" s="8">
        <v>26211484</v>
      </c>
      <c r="C8" s="8" t="s">
        <v>243</v>
      </c>
      <c r="D8" s="7"/>
      <c r="E8" s="7">
        <v>0</v>
      </c>
      <c r="F8" s="8">
        <v>242</v>
      </c>
      <c r="G8" s="8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 x14ac:dyDescent="0.25">
      <c r="A9" s="7">
        <v>8</v>
      </c>
      <c r="B9" s="8">
        <v>26211606</v>
      </c>
      <c r="C9" s="8" t="s">
        <v>2733</v>
      </c>
      <c r="D9" s="7"/>
      <c r="E9" s="7">
        <v>0</v>
      </c>
      <c r="F9" s="8" t="s">
        <v>557</v>
      </c>
      <c r="G9" s="8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 x14ac:dyDescent="0.25">
      <c r="A10" s="7">
        <v>9</v>
      </c>
      <c r="B10" s="8">
        <v>26213982</v>
      </c>
      <c r="C10" s="8" t="s">
        <v>2738</v>
      </c>
      <c r="D10" s="7"/>
      <c r="E10" s="7">
        <v>0</v>
      </c>
      <c r="F10" s="8">
        <v>1328</v>
      </c>
      <c r="G10" s="8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 x14ac:dyDescent="0.25">
      <c r="A11" s="7">
        <v>10</v>
      </c>
      <c r="B11" s="8">
        <v>26240135</v>
      </c>
      <c r="C11" s="29" t="s">
        <v>255</v>
      </c>
      <c r="D11" s="7"/>
      <c r="E11" s="7">
        <v>0</v>
      </c>
      <c r="F11" s="8">
        <v>2110</v>
      </c>
      <c r="G11" s="8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 x14ac:dyDescent="0.25">
      <c r="A12" s="7">
        <v>11</v>
      </c>
      <c r="B12" s="8">
        <v>26240945</v>
      </c>
      <c r="C12" s="29" t="s">
        <v>444</v>
      </c>
      <c r="D12" s="7"/>
      <c r="E12" s="25">
        <v>0</v>
      </c>
      <c r="F12" s="8">
        <v>2161</v>
      </c>
      <c r="G12" s="8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 x14ac:dyDescent="0.25">
      <c r="A13" s="7">
        <v>12</v>
      </c>
      <c r="B13" s="8">
        <v>26241683</v>
      </c>
      <c r="C13" s="8" t="s">
        <v>2730</v>
      </c>
      <c r="D13" s="7"/>
      <c r="E13" s="7">
        <v>0</v>
      </c>
      <c r="F13" s="8">
        <v>158</v>
      </c>
      <c r="G13" s="8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 x14ac:dyDescent="0.25">
      <c r="A14" s="7">
        <v>13</v>
      </c>
      <c r="B14" s="8">
        <v>26253113</v>
      </c>
      <c r="C14" s="8" t="s">
        <v>265</v>
      </c>
      <c r="D14" s="7"/>
      <c r="E14" s="7">
        <v>0</v>
      </c>
      <c r="F14" s="8">
        <v>1529</v>
      </c>
      <c r="G14" s="8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 x14ac:dyDescent="0.25">
      <c r="A15" s="7">
        <v>14</v>
      </c>
      <c r="B15" s="8">
        <v>70050014</v>
      </c>
      <c r="C15" s="8" t="s">
        <v>288</v>
      </c>
      <c r="D15" s="7"/>
      <c r="E15" s="7">
        <v>0</v>
      </c>
      <c r="F15" s="8">
        <v>443</v>
      </c>
      <c r="G15" s="8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 x14ac:dyDescent="0.25">
      <c r="A16" s="7">
        <v>15</v>
      </c>
      <c r="B16" s="8" t="s">
        <v>12</v>
      </c>
      <c r="C16" s="8" t="s">
        <v>395</v>
      </c>
      <c r="D16" s="7"/>
      <c r="E16" s="7">
        <v>0</v>
      </c>
      <c r="F16" s="8" t="s">
        <v>3377</v>
      </c>
      <c r="G16" s="8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 x14ac:dyDescent="0.25">
      <c r="A17" s="7">
        <v>16</v>
      </c>
      <c r="B17" s="8" t="s">
        <v>15</v>
      </c>
      <c r="C17" s="36" t="s">
        <v>673</v>
      </c>
      <c r="D17" s="7"/>
      <c r="E17" s="7">
        <v>0</v>
      </c>
      <c r="F17" s="8">
        <v>4737</v>
      </c>
      <c r="G17" s="8"/>
      <c r="H17" s="8">
        <f>VLOOKUP(B17,'[1]HSN CODE  TAX RATE'!$A$1:$E$13821,5,0)</f>
        <v>28</v>
      </c>
      <c r="I17" s="7"/>
      <c r="J17" s="7"/>
      <c r="K17" s="8"/>
      <c r="L17" s="3"/>
      <c r="M17" s="3"/>
      <c r="N17" s="3"/>
      <c r="O17" s="3"/>
    </row>
    <row r="18" spans="1:15" x14ac:dyDescent="0.25">
      <c r="A18" s="7">
        <v>17</v>
      </c>
      <c r="B18" s="8">
        <v>26244721</v>
      </c>
      <c r="C18" s="8" t="s">
        <v>275</v>
      </c>
      <c r="D18" s="7"/>
      <c r="E18" s="7">
        <v>0</v>
      </c>
      <c r="F18" s="8">
        <v>454</v>
      </c>
      <c r="G18" s="8"/>
      <c r="H18" s="8">
        <f>VLOOKUP(B18,'[1]HSN CODE  TAX RATE'!$A$1:$E$13821,5,0)</f>
        <v>28</v>
      </c>
      <c r="I18" s="7"/>
      <c r="J18" s="7"/>
      <c r="K18" s="8">
        <v>4</v>
      </c>
      <c r="L18" s="3"/>
      <c r="M18" s="3"/>
      <c r="N18" s="3"/>
      <c r="O18" s="3"/>
    </row>
    <row r="19" spans="1:15" x14ac:dyDescent="0.25">
      <c r="A19" s="7">
        <v>18</v>
      </c>
      <c r="B19" s="8">
        <v>26242346</v>
      </c>
      <c r="C19" s="8" t="s">
        <v>385</v>
      </c>
      <c r="D19" s="7"/>
      <c r="E19" s="7">
        <v>0</v>
      </c>
      <c r="F19" s="8">
        <v>125</v>
      </c>
      <c r="G19" s="8"/>
      <c r="H19" s="8">
        <f>VLOOKUP(B19,'[1]HSN CODE  TAX RATE'!$A$1:$E$13821,5,0)</f>
        <v>28</v>
      </c>
      <c r="I19" s="7"/>
      <c r="J19" s="7"/>
      <c r="K19" s="8">
        <v>2</v>
      </c>
      <c r="L19" s="3"/>
      <c r="M19" s="3"/>
      <c r="N19" s="3"/>
      <c r="O19" s="3"/>
    </row>
    <row r="20" spans="1:15" x14ac:dyDescent="0.25">
      <c r="A20" s="7">
        <v>19</v>
      </c>
      <c r="B20" s="8">
        <v>26021319</v>
      </c>
      <c r="C20" s="36" t="s">
        <v>2310</v>
      </c>
      <c r="D20" s="7"/>
      <c r="E20" s="7">
        <v>0</v>
      </c>
      <c r="F20" s="8">
        <v>7931</v>
      </c>
      <c r="G20" s="8"/>
      <c r="H20" s="8">
        <f>VLOOKUP(B20,'[1]HSN CODE  TAX RATE'!$A$1:$E$13821,5,0)</f>
        <v>28</v>
      </c>
      <c r="I20" s="13"/>
      <c r="J20" s="13"/>
      <c r="K20" s="8"/>
      <c r="L20" s="3"/>
      <c r="M20" s="3"/>
      <c r="N20" s="3"/>
      <c r="O20" s="3"/>
    </row>
    <row r="21" spans="1:15" x14ac:dyDescent="0.25">
      <c r="A21" s="7">
        <v>20</v>
      </c>
      <c r="B21" s="8">
        <v>26217122</v>
      </c>
      <c r="C21" s="36" t="s">
        <v>278</v>
      </c>
      <c r="D21" s="7"/>
      <c r="E21" s="7">
        <v>0</v>
      </c>
      <c r="F21" s="8">
        <v>1371</v>
      </c>
      <c r="G21" s="8"/>
      <c r="H21" s="8">
        <f>VLOOKUP(B21,'[1]HSN CODE  TAX RATE'!$A$1:$E$13821,5,0)</f>
        <v>28</v>
      </c>
      <c r="I21" s="13"/>
      <c r="J21" s="7"/>
      <c r="K21" s="8"/>
      <c r="L21" s="3"/>
      <c r="M21" s="3"/>
      <c r="N21" s="3"/>
      <c r="O21" s="3"/>
    </row>
    <row r="22" spans="1:15" x14ac:dyDescent="0.25">
      <c r="A22" s="7">
        <v>21</v>
      </c>
      <c r="B22" s="8">
        <v>26215925</v>
      </c>
      <c r="C22" s="29" t="s">
        <v>89</v>
      </c>
      <c r="D22" s="7"/>
      <c r="E22" s="7">
        <v>0</v>
      </c>
      <c r="F22" s="8" t="s">
        <v>3652</v>
      </c>
      <c r="G22" s="8"/>
      <c r="H22" s="8">
        <f>VLOOKUP(B22,'[1]HSN CODE  TAX RATE'!$A$1:$E$13821,5,0)</f>
        <v>28</v>
      </c>
      <c r="I22" s="13"/>
      <c r="J22" s="13"/>
      <c r="K22" s="8"/>
      <c r="L22" s="3"/>
      <c r="M22" s="3"/>
      <c r="N22" s="3"/>
      <c r="O22" s="3"/>
    </row>
    <row r="23" spans="1:15" x14ac:dyDescent="0.25">
      <c r="A23" s="7">
        <v>22</v>
      </c>
      <c r="B23" s="8">
        <v>70060017</v>
      </c>
      <c r="C23" s="8" t="s">
        <v>289</v>
      </c>
      <c r="D23" s="7"/>
      <c r="E23" s="7">
        <v>0</v>
      </c>
      <c r="F23" s="8">
        <v>1250</v>
      </c>
      <c r="G23" s="8"/>
      <c r="H23" s="8">
        <f>VLOOKUP(B23,'[1]HSN CODE  TAX RATE'!$A$1:$E$13821,5,0)</f>
        <v>28</v>
      </c>
      <c r="I23" s="93"/>
      <c r="J23" s="7"/>
      <c r="K23" s="8"/>
      <c r="L23" s="3"/>
      <c r="M23" s="3"/>
      <c r="N23" s="3"/>
      <c r="O23" s="3"/>
    </row>
    <row r="24" spans="1:15" x14ac:dyDescent="0.25">
      <c r="A24" s="7">
        <v>23</v>
      </c>
      <c r="B24" s="8">
        <v>26215298</v>
      </c>
      <c r="C24" s="8" t="s">
        <v>5</v>
      </c>
      <c r="D24" s="7"/>
      <c r="E24" s="7">
        <v>0</v>
      </c>
      <c r="F24" s="8">
        <v>2344</v>
      </c>
      <c r="G24" s="8"/>
      <c r="H24" s="8">
        <f>VLOOKUP(B24,'[1]HSN CODE  TAX RATE'!$A$1:$E$13821,5,0)</f>
        <v>28</v>
      </c>
      <c r="I24" s="7"/>
      <c r="J24" s="7"/>
      <c r="K24" s="8"/>
      <c r="L24" s="3"/>
      <c r="M24" s="3"/>
      <c r="N24" s="3"/>
      <c r="O24" s="3"/>
    </row>
    <row r="25" spans="1:15" x14ac:dyDescent="0.25">
      <c r="A25" s="7">
        <v>24</v>
      </c>
      <c r="B25" s="8">
        <v>26253399</v>
      </c>
      <c r="C25" s="8" t="s">
        <v>8</v>
      </c>
      <c r="D25" s="7"/>
      <c r="E25" s="7">
        <v>0</v>
      </c>
      <c r="F25" s="8">
        <v>1086</v>
      </c>
      <c r="G25" s="8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 x14ac:dyDescent="0.25">
      <c r="A26" s="7">
        <v>25</v>
      </c>
      <c r="B26" s="8">
        <v>26256287</v>
      </c>
      <c r="C26" s="8" t="s">
        <v>3654</v>
      </c>
      <c r="D26" s="7"/>
      <c r="E26" s="7">
        <v>0</v>
      </c>
      <c r="F26" s="8">
        <v>544</v>
      </c>
      <c r="G26" s="8"/>
      <c r="H26" s="8">
        <f>VLOOKUP(B26,'[1]HSN CODE  TAX RATE'!$A$1:$E$13821,5,0)</f>
        <v>28</v>
      </c>
      <c r="I26" s="7"/>
      <c r="J26" s="7"/>
      <c r="K26" s="8">
        <v>2</v>
      </c>
      <c r="L26" s="3"/>
      <c r="M26" s="3"/>
      <c r="N26" s="3"/>
      <c r="O26" s="3"/>
    </row>
    <row r="27" spans="1:15" x14ac:dyDescent="0.25">
      <c r="A27" s="7">
        <v>26</v>
      </c>
      <c r="B27" s="8">
        <v>26256545</v>
      </c>
      <c r="C27" s="8" t="s">
        <v>8</v>
      </c>
      <c r="D27" s="7"/>
      <c r="E27" s="7">
        <v>0</v>
      </c>
      <c r="F27" s="8">
        <v>942</v>
      </c>
      <c r="G27" s="8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 x14ac:dyDescent="0.25">
      <c r="A28" s="7">
        <v>27</v>
      </c>
      <c r="B28" s="8">
        <v>26215650</v>
      </c>
      <c r="C28" s="8" t="s">
        <v>3280</v>
      </c>
      <c r="D28" s="7"/>
      <c r="E28" s="7">
        <v>0</v>
      </c>
      <c r="F28" s="8">
        <v>966</v>
      </c>
      <c r="G28" s="8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 x14ac:dyDescent="0.25">
      <c r="A29" s="7">
        <v>28</v>
      </c>
      <c r="B29" s="8">
        <v>26247628</v>
      </c>
      <c r="C29" s="8" t="s">
        <v>183</v>
      </c>
      <c r="D29" s="7"/>
      <c r="E29" s="7">
        <v>0</v>
      </c>
      <c r="F29" s="8">
        <v>367</v>
      </c>
      <c r="G29" s="8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 x14ac:dyDescent="0.25">
      <c r="A30" s="7">
        <v>29</v>
      </c>
      <c r="B30" s="8">
        <v>26253078</v>
      </c>
      <c r="C30" s="8" t="s">
        <v>198</v>
      </c>
      <c r="D30" s="7"/>
      <c r="E30" s="7">
        <v>0</v>
      </c>
      <c r="F30" s="8" t="s">
        <v>3447</v>
      </c>
      <c r="G30" s="8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 x14ac:dyDescent="0.25">
      <c r="A31" s="7">
        <v>30</v>
      </c>
      <c r="B31" s="8">
        <v>70050020</v>
      </c>
      <c r="C31" s="8" t="s">
        <v>291</v>
      </c>
      <c r="D31" s="7"/>
      <c r="E31" s="7">
        <v>0</v>
      </c>
      <c r="F31" s="8">
        <v>874</v>
      </c>
      <c r="G31" s="8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 x14ac:dyDescent="0.25">
      <c r="A32" s="7">
        <v>31</v>
      </c>
      <c r="B32" s="8">
        <v>26213408</v>
      </c>
      <c r="C32" s="8" t="s">
        <v>5</v>
      </c>
      <c r="D32" s="7"/>
      <c r="E32" s="7">
        <v>0</v>
      </c>
      <c r="F32" s="8">
        <v>4552</v>
      </c>
      <c r="G32" s="8"/>
      <c r="H32" s="8">
        <f>VLOOKUP(B32,'[1]HSN CODE  TAX RATE'!$A$1:$E$13821,5,0)</f>
        <v>28</v>
      </c>
      <c r="I32" s="7"/>
      <c r="J32" s="7"/>
      <c r="K32" s="8"/>
      <c r="L32" s="3"/>
      <c r="M32" s="3"/>
      <c r="N32" s="3"/>
      <c r="O32" s="3"/>
    </row>
    <row r="33" spans="1:15" x14ac:dyDescent="0.25">
      <c r="A33" s="7">
        <v>32</v>
      </c>
      <c r="B33" s="8" t="s">
        <v>229</v>
      </c>
      <c r="C33" s="8" t="s">
        <v>230</v>
      </c>
      <c r="D33" s="7"/>
      <c r="E33" s="7">
        <v>0</v>
      </c>
      <c r="F33" s="8">
        <v>120</v>
      </c>
      <c r="G33" s="8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 x14ac:dyDescent="0.25">
      <c r="A34" s="7">
        <v>33</v>
      </c>
      <c r="B34" s="8">
        <v>26254876</v>
      </c>
      <c r="C34" s="8" t="s">
        <v>672</v>
      </c>
      <c r="D34" s="7"/>
      <c r="E34" s="7">
        <v>0</v>
      </c>
      <c r="F34" s="8">
        <v>1125</v>
      </c>
      <c r="G34" s="8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 x14ac:dyDescent="0.25">
      <c r="A35" s="7">
        <v>34</v>
      </c>
      <c r="B35" s="8">
        <v>26216229</v>
      </c>
      <c r="C35" s="13" t="s">
        <v>343</v>
      </c>
      <c r="D35" s="7"/>
      <c r="E35" s="14">
        <v>0</v>
      </c>
      <c r="F35" s="8">
        <v>2312</v>
      </c>
      <c r="G35" s="8"/>
      <c r="H35" s="8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 x14ac:dyDescent="0.25">
      <c r="A36" s="7">
        <v>35</v>
      </c>
      <c r="B36" s="8">
        <v>26719927</v>
      </c>
      <c r="C36" s="13" t="s">
        <v>341</v>
      </c>
      <c r="D36" s="7"/>
      <c r="E36" s="14">
        <v>0</v>
      </c>
      <c r="F36" s="8">
        <v>230</v>
      </c>
      <c r="G36" s="8"/>
      <c r="H36" s="8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 x14ac:dyDescent="0.25">
      <c r="A37" s="7">
        <v>36</v>
      </c>
      <c r="B37" s="8">
        <v>26244296</v>
      </c>
      <c r="C37" s="13" t="s">
        <v>153</v>
      </c>
      <c r="D37" s="7"/>
      <c r="E37" s="14">
        <v>0</v>
      </c>
      <c r="F37" s="8">
        <v>517</v>
      </c>
      <c r="G37" s="8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 x14ac:dyDescent="0.25">
      <c r="A38" s="7">
        <v>37</v>
      </c>
      <c r="B38" s="8">
        <v>26214050</v>
      </c>
      <c r="C38" s="13" t="s">
        <v>418</v>
      </c>
      <c r="D38" s="7"/>
      <c r="E38" s="14">
        <v>0</v>
      </c>
      <c r="F38" s="8">
        <v>2547</v>
      </c>
      <c r="G38" s="8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 x14ac:dyDescent="0.25">
      <c r="A39" s="7">
        <v>38</v>
      </c>
      <c r="B39" s="8">
        <v>26215193</v>
      </c>
      <c r="C39" s="13" t="s">
        <v>344</v>
      </c>
      <c r="D39" s="7"/>
      <c r="E39" s="14">
        <v>0</v>
      </c>
      <c r="F39" s="8">
        <v>1100</v>
      </c>
      <c r="G39" s="8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 x14ac:dyDescent="0.25">
      <c r="A40" s="7">
        <v>39</v>
      </c>
      <c r="B40" s="8">
        <v>26256848</v>
      </c>
      <c r="C40" s="13" t="s">
        <v>588</v>
      </c>
      <c r="D40" s="7"/>
      <c r="E40" s="14">
        <v>0</v>
      </c>
      <c r="F40" s="8">
        <v>47</v>
      </c>
      <c r="G40" s="8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 x14ac:dyDescent="0.25">
      <c r="A41" s="7">
        <v>40</v>
      </c>
      <c r="B41" s="8">
        <v>26217592</v>
      </c>
      <c r="C41" s="13" t="s">
        <v>344</v>
      </c>
      <c r="D41" s="7"/>
      <c r="E41" s="14">
        <v>0</v>
      </c>
      <c r="F41" s="8">
        <v>1000</v>
      </c>
      <c r="G41" s="8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 x14ac:dyDescent="0.25">
      <c r="A42" s="7">
        <v>41</v>
      </c>
      <c r="B42" s="8">
        <v>26217660</v>
      </c>
      <c r="C42" s="13" t="s">
        <v>337</v>
      </c>
      <c r="D42" s="7"/>
      <c r="E42" s="14">
        <v>0</v>
      </c>
      <c r="F42" s="8">
        <v>600</v>
      </c>
      <c r="G42" s="8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 x14ac:dyDescent="0.25">
      <c r="A43" s="7">
        <v>42</v>
      </c>
      <c r="B43" s="8">
        <v>26750286</v>
      </c>
      <c r="C43" s="41" t="s">
        <v>524</v>
      </c>
      <c r="D43" s="7"/>
      <c r="E43" s="14">
        <v>0</v>
      </c>
      <c r="F43" s="8">
        <v>1958</v>
      </c>
      <c r="G43" s="8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 x14ac:dyDescent="0.25">
      <c r="A44" s="7">
        <v>43</v>
      </c>
      <c r="B44" s="8">
        <v>26248647</v>
      </c>
      <c r="C44" s="13" t="s">
        <v>4384</v>
      </c>
      <c r="D44" s="7"/>
      <c r="E44" s="14">
        <v>0</v>
      </c>
      <c r="F44" s="8">
        <v>389</v>
      </c>
      <c r="G44" s="8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 x14ac:dyDescent="0.25">
      <c r="A45" s="7">
        <v>44</v>
      </c>
      <c r="B45" s="8" t="s">
        <v>469</v>
      </c>
      <c r="C45" s="13" t="s">
        <v>470</v>
      </c>
      <c r="D45" s="7"/>
      <c r="E45" s="14">
        <v>0</v>
      </c>
      <c r="F45" s="8">
        <v>3765</v>
      </c>
      <c r="G45" s="8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 x14ac:dyDescent="0.25">
      <c r="A46" s="7">
        <v>45</v>
      </c>
      <c r="B46" s="8">
        <v>26218430</v>
      </c>
      <c r="C46" s="13" t="s">
        <v>660</v>
      </c>
      <c r="D46" s="7"/>
      <c r="E46" s="14">
        <v>0</v>
      </c>
      <c r="F46" s="8" t="s">
        <v>549</v>
      </c>
      <c r="G46" s="8"/>
      <c r="H46" s="8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 x14ac:dyDescent="0.25">
      <c r="A47" s="7">
        <v>46</v>
      </c>
      <c r="B47" s="8">
        <v>26215535</v>
      </c>
      <c r="C47" s="8" t="s">
        <v>251</v>
      </c>
      <c r="D47" s="7"/>
      <c r="E47" s="7">
        <v>0</v>
      </c>
      <c r="F47" s="8">
        <v>1038</v>
      </c>
      <c r="G47" s="8"/>
      <c r="H47" s="8">
        <f>VLOOKUP(B47,'[1]HSN CODE  TAX RATE'!$A$1:$E$13821,5,0)</f>
        <v>28</v>
      </c>
      <c r="I47" s="7"/>
      <c r="J47" s="7"/>
      <c r="K47" s="8"/>
      <c r="L47" s="3"/>
      <c r="M47" s="3"/>
      <c r="N47" s="3"/>
      <c r="O47" s="3"/>
    </row>
    <row r="48" spans="1:15" x14ac:dyDescent="0.25">
      <c r="A48" s="7">
        <v>47</v>
      </c>
      <c r="B48" s="8">
        <v>26258286</v>
      </c>
      <c r="C48" s="8" t="s">
        <v>8</v>
      </c>
      <c r="D48" s="7"/>
      <c r="E48" s="7">
        <v>0</v>
      </c>
      <c r="F48" s="8">
        <v>1200</v>
      </c>
      <c r="G48" s="8"/>
      <c r="H48" s="8">
        <f>VLOOKUP(B48,'[1]HSN CODE  TAX RATE'!$A$1:$E$13821,5,0)</f>
        <v>28</v>
      </c>
      <c r="I48" s="7"/>
      <c r="J48" s="7"/>
      <c r="K48" s="8"/>
      <c r="L48" s="3"/>
      <c r="M48" s="3"/>
      <c r="N48" s="3"/>
      <c r="O48" s="3"/>
    </row>
    <row r="49" spans="1:15" x14ac:dyDescent="0.25">
      <c r="A49" s="7">
        <v>48</v>
      </c>
      <c r="B49" s="8">
        <v>26246575</v>
      </c>
      <c r="C49" s="8" t="s">
        <v>393</v>
      </c>
      <c r="D49" s="7"/>
      <c r="E49" s="7">
        <v>0</v>
      </c>
      <c r="F49" s="8">
        <v>676</v>
      </c>
      <c r="G49" s="8"/>
      <c r="H49" s="8">
        <f>VLOOKUP(B49,'[1]HSN CODE  TAX RATE'!$A$1:$E$13821,5,0)</f>
        <v>28</v>
      </c>
      <c r="I49" s="7"/>
      <c r="J49" s="7"/>
      <c r="K49" s="8"/>
      <c r="L49" s="3"/>
      <c r="M49" s="3"/>
      <c r="N49" s="3"/>
      <c r="O49" s="3"/>
    </row>
    <row r="50" spans="1:15" x14ac:dyDescent="0.25">
      <c r="A50" s="7">
        <v>49</v>
      </c>
      <c r="B50" s="8">
        <v>26243124</v>
      </c>
      <c r="C50" s="8" t="s">
        <v>259</v>
      </c>
      <c r="D50" s="7"/>
      <c r="E50" s="7">
        <v>0</v>
      </c>
      <c r="F50" s="8">
        <v>872</v>
      </c>
      <c r="G50" s="8"/>
      <c r="H50" s="8">
        <f>VLOOKUP(B50,'[1]HSN CODE  TAX RATE'!$A$1:$E$13821,5,0)</f>
        <v>28</v>
      </c>
      <c r="I50" s="7"/>
      <c r="J50" s="7"/>
      <c r="K50" s="8"/>
      <c r="L50" s="3"/>
      <c r="M50" s="3"/>
      <c r="N50" s="3"/>
      <c r="O50" s="3"/>
    </row>
    <row r="51" spans="1:15" x14ac:dyDescent="0.25">
      <c r="A51" s="7">
        <v>50</v>
      </c>
      <c r="B51" s="8">
        <v>26253389</v>
      </c>
      <c r="C51" s="13" t="s">
        <v>527</v>
      </c>
      <c r="D51" s="7"/>
      <c r="E51" s="14">
        <v>0</v>
      </c>
      <c r="F51" s="8">
        <v>1385</v>
      </c>
      <c r="G51" s="8"/>
      <c r="H51" s="8"/>
      <c r="I51" s="7"/>
      <c r="J51" s="7"/>
      <c r="K51" s="7"/>
      <c r="L51" s="3"/>
      <c r="M51" s="3"/>
      <c r="N51" s="3"/>
      <c r="O51" s="3"/>
    </row>
    <row r="52" spans="1:15" x14ac:dyDescent="0.25">
      <c r="A52" s="7">
        <v>51</v>
      </c>
      <c r="B52" s="8">
        <v>26021492</v>
      </c>
      <c r="C52" s="13" t="s">
        <v>528</v>
      </c>
      <c r="D52" s="7"/>
      <c r="E52" s="14">
        <v>0</v>
      </c>
      <c r="F52" s="8">
        <v>9943</v>
      </c>
      <c r="G52" s="8"/>
      <c r="H52" s="8"/>
      <c r="I52" s="7"/>
      <c r="J52" s="7"/>
      <c r="K52" s="7"/>
      <c r="L52" s="3"/>
      <c r="M52" s="3"/>
      <c r="N52" s="3"/>
      <c r="O52" s="3"/>
    </row>
    <row r="53" spans="1:15" x14ac:dyDescent="0.25">
      <c r="A53" s="7">
        <v>52</v>
      </c>
      <c r="B53" s="8">
        <v>26249044</v>
      </c>
      <c r="C53" s="13" t="s">
        <v>529</v>
      </c>
      <c r="D53" s="7"/>
      <c r="E53" s="14">
        <v>0</v>
      </c>
      <c r="F53" s="8">
        <v>529</v>
      </c>
      <c r="G53" s="8"/>
      <c r="H53" s="8"/>
      <c r="I53" s="7"/>
      <c r="J53" s="7"/>
      <c r="K53" s="7"/>
      <c r="L53" s="3"/>
      <c r="M53" s="3"/>
      <c r="N53" s="3"/>
      <c r="O53" s="3"/>
    </row>
    <row r="54" spans="1:15" x14ac:dyDescent="0.25">
      <c r="A54" s="7">
        <v>53</v>
      </c>
      <c r="B54" s="8">
        <v>26218471</v>
      </c>
      <c r="C54" s="13" t="s">
        <v>400</v>
      </c>
      <c r="D54" s="7"/>
      <c r="E54" s="14">
        <v>0</v>
      </c>
      <c r="F54" s="8">
        <v>3158</v>
      </c>
      <c r="G54" s="8"/>
      <c r="H54" s="8"/>
      <c r="I54" s="7"/>
      <c r="J54" s="7"/>
      <c r="K54" s="7"/>
      <c r="L54" s="3"/>
      <c r="M54" s="3"/>
      <c r="N54" s="3"/>
      <c r="O54" s="3"/>
    </row>
    <row r="55" spans="1:15" x14ac:dyDescent="0.25">
      <c r="A55" s="7">
        <v>54</v>
      </c>
      <c r="B55" s="8">
        <v>26243796</v>
      </c>
      <c r="C55" s="13" t="s">
        <v>532</v>
      </c>
      <c r="D55" s="7"/>
      <c r="E55" s="14">
        <v>0</v>
      </c>
      <c r="F55" s="8">
        <v>1296</v>
      </c>
      <c r="G55" s="8"/>
      <c r="H55" s="8"/>
      <c r="I55" s="7"/>
      <c r="J55" s="7"/>
      <c r="K55" s="7" t="s">
        <v>534</v>
      </c>
      <c r="L55" s="3"/>
      <c r="M55" s="3"/>
      <c r="N55" s="3"/>
      <c r="O55" s="3"/>
    </row>
    <row r="56" spans="1:15" x14ac:dyDescent="0.25">
      <c r="A56" s="7">
        <v>55</v>
      </c>
      <c r="B56" s="8">
        <v>26246906</v>
      </c>
      <c r="C56" s="13" t="s">
        <v>348</v>
      </c>
      <c r="D56" s="7"/>
      <c r="E56" s="14">
        <v>0</v>
      </c>
      <c r="F56" s="8">
        <v>2211</v>
      </c>
      <c r="G56" s="8"/>
      <c r="H56" s="8"/>
      <c r="I56" s="7"/>
      <c r="J56" s="7"/>
      <c r="K56" s="7"/>
      <c r="L56" s="3"/>
      <c r="M56" s="3"/>
      <c r="N56" s="3"/>
      <c r="O56" s="3"/>
    </row>
    <row r="57" spans="1:15" x14ac:dyDescent="0.25">
      <c r="A57" s="7">
        <v>56</v>
      </c>
      <c r="B57" s="8">
        <v>26216650</v>
      </c>
      <c r="C57" s="13" t="s">
        <v>344</v>
      </c>
      <c r="D57" s="7"/>
      <c r="E57" s="14">
        <v>0</v>
      </c>
      <c r="F57" s="8">
        <v>1515</v>
      </c>
      <c r="G57" s="8"/>
      <c r="H57" s="8"/>
      <c r="I57" s="7"/>
      <c r="J57" s="7"/>
      <c r="K57" s="7"/>
      <c r="L57" s="3"/>
      <c r="M57" s="3"/>
      <c r="N57" s="3"/>
      <c r="O57" s="3"/>
    </row>
    <row r="58" spans="1:15" x14ac:dyDescent="0.25">
      <c r="A58" s="7">
        <v>57</v>
      </c>
      <c r="B58" s="8">
        <v>26218551</v>
      </c>
      <c r="C58" s="13" t="s">
        <v>344</v>
      </c>
      <c r="D58" s="7"/>
      <c r="E58" s="14">
        <v>0</v>
      </c>
      <c r="F58" s="8">
        <v>1550</v>
      </c>
      <c r="G58" s="8"/>
      <c r="H58" s="8"/>
      <c r="I58" s="7"/>
      <c r="J58" s="7"/>
      <c r="K58" s="7"/>
      <c r="L58" s="3"/>
      <c r="M58" s="3"/>
      <c r="N58" s="3"/>
      <c r="O58" s="3"/>
    </row>
    <row r="59" spans="1:15" x14ac:dyDescent="0.25">
      <c r="A59" s="7">
        <v>58</v>
      </c>
      <c r="B59" s="8" t="s">
        <v>554</v>
      </c>
      <c r="C59" s="13" t="s">
        <v>555</v>
      </c>
      <c r="D59" s="7"/>
      <c r="E59" s="14">
        <v>0</v>
      </c>
      <c r="F59" s="8">
        <v>192</v>
      </c>
      <c r="G59" s="8"/>
      <c r="H59" s="8"/>
      <c r="I59" s="7"/>
      <c r="J59" s="7"/>
      <c r="K59" s="7"/>
      <c r="L59" s="3"/>
      <c r="M59" s="3"/>
      <c r="N59" s="3"/>
      <c r="O59" s="3"/>
    </row>
    <row r="60" spans="1:15" x14ac:dyDescent="0.25">
      <c r="A60" s="7">
        <v>59</v>
      </c>
      <c r="B60" s="8">
        <v>26217742</v>
      </c>
      <c r="C60" s="13" t="s">
        <v>337</v>
      </c>
      <c r="D60" s="7"/>
      <c r="E60" s="14">
        <v>0</v>
      </c>
      <c r="F60" s="8">
        <v>850</v>
      </c>
      <c r="G60" s="8"/>
      <c r="H60" s="8"/>
      <c r="I60" s="7"/>
      <c r="J60" s="7"/>
      <c r="K60" s="7"/>
      <c r="L60" s="3"/>
      <c r="M60" s="3"/>
      <c r="N60" s="3"/>
      <c r="O60" s="3"/>
    </row>
    <row r="61" spans="1:15" x14ac:dyDescent="0.25">
      <c r="A61" s="7">
        <v>60</v>
      </c>
      <c r="B61" s="8">
        <v>26217557</v>
      </c>
      <c r="C61" s="13" t="s">
        <v>337</v>
      </c>
      <c r="D61" s="7"/>
      <c r="E61" s="14">
        <v>0</v>
      </c>
      <c r="F61" s="8">
        <v>650</v>
      </c>
      <c r="G61" s="8"/>
      <c r="H61" s="8"/>
      <c r="I61" s="7"/>
      <c r="J61" s="7"/>
      <c r="K61" s="7"/>
      <c r="L61" s="3"/>
      <c r="M61" s="3"/>
      <c r="N61" s="3"/>
      <c r="O61" s="3"/>
    </row>
    <row r="62" spans="1:15" x14ac:dyDescent="0.25">
      <c r="A62" s="7">
        <v>61</v>
      </c>
      <c r="B62" s="8">
        <v>26253662</v>
      </c>
      <c r="C62" s="13" t="s">
        <v>250</v>
      </c>
      <c r="D62" s="7"/>
      <c r="E62" s="14">
        <v>0</v>
      </c>
      <c r="F62" s="8">
        <v>538</v>
      </c>
      <c r="G62" s="8"/>
      <c r="H62" s="8"/>
      <c r="I62" s="7"/>
      <c r="J62" s="7"/>
      <c r="K62" s="7"/>
      <c r="L62" s="3"/>
      <c r="M62" s="3"/>
      <c r="N62" s="3"/>
      <c r="O62" s="3"/>
    </row>
    <row r="63" spans="1:15" x14ac:dyDescent="0.25">
      <c r="A63" s="7">
        <v>62</v>
      </c>
      <c r="B63" s="8">
        <v>26045075</v>
      </c>
      <c r="C63" s="13" t="s">
        <v>583</v>
      </c>
      <c r="D63" s="7"/>
      <c r="E63" s="14">
        <v>0</v>
      </c>
      <c r="F63" s="8">
        <v>11507</v>
      </c>
      <c r="G63" s="8"/>
      <c r="H63" s="8"/>
      <c r="I63" s="7"/>
      <c r="J63" s="7"/>
      <c r="K63" s="7"/>
      <c r="L63" s="3"/>
      <c r="M63" s="3"/>
      <c r="N63" s="3"/>
      <c r="O63" s="3"/>
    </row>
    <row r="64" spans="1:15" x14ac:dyDescent="0.25">
      <c r="A64" s="7">
        <v>63</v>
      </c>
      <c r="B64" s="8">
        <v>26021598</v>
      </c>
      <c r="C64" s="13" t="s">
        <v>3916</v>
      </c>
      <c r="D64" s="7"/>
      <c r="E64" s="14">
        <v>0</v>
      </c>
      <c r="F64" s="8">
        <v>6159</v>
      </c>
      <c r="G64" s="8"/>
      <c r="H64" s="8"/>
      <c r="I64" s="7"/>
      <c r="J64" s="7"/>
      <c r="K64" s="7"/>
      <c r="L64" s="3"/>
      <c r="M64" s="3"/>
      <c r="N64" s="3"/>
      <c r="O64" s="3"/>
    </row>
    <row r="65" spans="1:15" x14ac:dyDescent="0.25">
      <c r="A65" s="7">
        <v>64</v>
      </c>
      <c r="B65" s="89" t="s">
        <v>3657</v>
      </c>
      <c r="C65" s="13" t="s">
        <v>2088</v>
      </c>
      <c r="D65" s="7"/>
      <c r="E65" s="14">
        <v>0</v>
      </c>
      <c r="F65" s="8">
        <v>4650</v>
      </c>
      <c r="G65" s="8"/>
      <c r="H65" s="8"/>
      <c r="I65" s="7"/>
      <c r="J65" s="7"/>
      <c r="K65" s="7"/>
      <c r="L65" s="3"/>
      <c r="M65" s="3"/>
      <c r="N65" s="3"/>
      <c r="O65" s="3"/>
    </row>
    <row r="66" spans="1:15" x14ac:dyDescent="0.25">
      <c r="A66" s="7">
        <v>65</v>
      </c>
      <c r="B66" s="8" t="s">
        <v>652</v>
      </c>
      <c r="C66" s="13" t="s">
        <v>653</v>
      </c>
      <c r="D66" s="7"/>
      <c r="E66" s="14">
        <v>0</v>
      </c>
      <c r="F66" s="8">
        <v>11481</v>
      </c>
      <c r="G66" s="8"/>
      <c r="H66" s="8"/>
      <c r="I66" s="7"/>
      <c r="J66" s="7"/>
      <c r="K66" s="7"/>
      <c r="L66" s="3"/>
      <c r="M66" s="3"/>
      <c r="N66" s="3"/>
      <c r="O66" s="3"/>
    </row>
    <row r="67" spans="1:15" x14ac:dyDescent="0.25">
      <c r="A67" s="7">
        <v>66</v>
      </c>
      <c r="B67" s="8">
        <v>26247150</v>
      </c>
      <c r="C67" s="13" t="s">
        <v>261</v>
      </c>
      <c r="D67" s="7"/>
      <c r="E67" s="14">
        <v>0</v>
      </c>
      <c r="F67" s="8">
        <v>1181</v>
      </c>
      <c r="G67" s="8"/>
      <c r="H67" s="8"/>
      <c r="I67" s="7"/>
      <c r="J67" s="7"/>
      <c r="K67" s="7"/>
      <c r="L67" s="3"/>
      <c r="M67" s="3"/>
      <c r="N67" s="3"/>
      <c r="O67" s="3"/>
    </row>
    <row r="68" spans="1:15" x14ac:dyDescent="0.25">
      <c r="A68" s="7">
        <v>67</v>
      </c>
      <c r="B68" s="8">
        <v>26246917</v>
      </c>
      <c r="C68" s="13" t="s">
        <v>659</v>
      </c>
      <c r="D68" s="7"/>
      <c r="E68" s="14">
        <v>0</v>
      </c>
      <c r="F68" s="8">
        <v>918</v>
      </c>
      <c r="G68" s="8"/>
      <c r="H68" s="8"/>
      <c r="I68" s="7"/>
      <c r="J68" s="7"/>
      <c r="K68" s="7"/>
      <c r="L68" s="3"/>
      <c r="M68" s="3"/>
      <c r="N68" s="3"/>
      <c r="O68" s="3"/>
    </row>
    <row r="69" spans="1:15" x14ac:dyDescent="0.25">
      <c r="A69" s="7">
        <v>68</v>
      </c>
      <c r="B69" s="8">
        <v>26024430</v>
      </c>
      <c r="C69" s="13" t="s">
        <v>663</v>
      </c>
      <c r="D69" s="7"/>
      <c r="E69" s="14">
        <v>0</v>
      </c>
      <c r="F69" s="8">
        <v>17009</v>
      </c>
      <c r="G69" s="8"/>
      <c r="H69" s="8"/>
      <c r="I69" s="7"/>
      <c r="J69" s="7"/>
      <c r="K69" s="7"/>
      <c r="L69" s="3"/>
      <c r="M69" s="3"/>
      <c r="N69" s="3"/>
      <c r="O69" s="3"/>
    </row>
    <row r="70" spans="1:15" x14ac:dyDescent="0.25">
      <c r="A70" s="7">
        <v>69</v>
      </c>
      <c r="B70" s="8">
        <v>26245551</v>
      </c>
      <c r="C70" s="13" t="s">
        <v>393</v>
      </c>
      <c r="D70" s="7"/>
      <c r="E70" s="14">
        <v>0</v>
      </c>
      <c r="F70" s="8">
        <v>2688</v>
      </c>
      <c r="G70" s="8"/>
      <c r="H70" s="8"/>
      <c r="I70" s="7"/>
      <c r="J70" s="7"/>
      <c r="K70" s="7"/>
      <c r="L70" s="3"/>
      <c r="M70" s="3"/>
      <c r="N70" s="3"/>
      <c r="O70" s="3"/>
    </row>
    <row r="71" spans="1:15" x14ac:dyDescent="0.25">
      <c r="A71" s="7">
        <v>70</v>
      </c>
      <c r="B71" s="8">
        <v>26240952</v>
      </c>
      <c r="C71" s="13" t="s">
        <v>659</v>
      </c>
      <c r="D71" s="7"/>
      <c r="E71" s="14">
        <v>0</v>
      </c>
      <c r="F71" s="8">
        <v>1783</v>
      </c>
      <c r="G71" s="8"/>
      <c r="H71" s="8"/>
      <c r="I71" s="7"/>
      <c r="J71" s="7"/>
      <c r="K71" s="7"/>
      <c r="L71" s="3"/>
      <c r="M71" s="3"/>
      <c r="N71" s="3"/>
      <c r="O71" s="3"/>
    </row>
    <row r="72" spans="1:15" x14ac:dyDescent="0.25">
      <c r="A72" s="7">
        <v>71</v>
      </c>
      <c r="B72" s="8" t="s">
        <v>668</v>
      </c>
      <c r="C72" s="13" t="s">
        <v>1444</v>
      </c>
      <c r="D72" s="7"/>
      <c r="E72" s="14">
        <v>0</v>
      </c>
      <c r="F72" s="8">
        <v>7820</v>
      </c>
      <c r="G72" s="8"/>
      <c r="H72" s="8"/>
      <c r="I72" s="7"/>
      <c r="J72" s="7"/>
      <c r="K72" s="7"/>
      <c r="L72" s="3"/>
      <c r="M72" s="3"/>
      <c r="N72" s="3"/>
      <c r="O72" s="3"/>
    </row>
    <row r="73" spans="1:15" x14ac:dyDescent="0.25">
      <c r="A73" s="7">
        <v>72</v>
      </c>
      <c r="B73" s="8">
        <v>26021719</v>
      </c>
      <c r="C73" s="13" t="s">
        <v>636</v>
      </c>
      <c r="D73" s="7"/>
      <c r="E73" s="14">
        <v>0</v>
      </c>
      <c r="F73" s="8">
        <v>7931</v>
      </c>
      <c r="G73" s="8"/>
      <c r="H73" s="8"/>
      <c r="I73" s="7"/>
      <c r="J73" s="7"/>
      <c r="K73" s="7"/>
      <c r="L73" s="3"/>
      <c r="M73" s="3"/>
      <c r="N73" s="3"/>
      <c r="O73" s="3"/>
    </row>
    <row r="74" spans="1:15" x14ac:dyDescent="0.25">
      <c r="A74" s="7">
        <v>73</v>
      </c>
      <c r="B74" s="8" t="s">
        <v>671</v>
      </c>
      <c r="C74" s="13" t="s">
        <v>3063</v>
      </c>
      <c r="D74" s="7"/>
      <c r="E74" s="14">
        <v>0</v>
      </c>
      <c r="F74" s="8">
        <v>9500</v>
      </c>
      <c r="G74" s="8"/>
      <c r="H74" s="8"/>
      <c r="I74" s="7"/>
      <c r="J74" s="7"/>
      <c r="K74" s="7"/>
      <c r="L74" s="3"/>
      <c r="M74" s="3"/>
      <c r="N74" s="3"/>
      <c r="O74" s="3"/>
    </row>
    <row r="75" spans="1:15" x14ac:dyDescent="0.25">
      <c r="A75" s="7">
        <v>74</v>
      </c>
      <c r="B75" s="8">
        <v>26240057</v>
      </c>
      <c r="C75" s="13" t="s">
        <v>265</v>
      </c>
      <c r="D75" s="7"/>
      <c r="E75" s="14">
        <v>0</v>
      </c>
      <c r="F75" s="8">
        <v>1579</v>
      </c>
      <c r="G75" s="8"/>
      <c r="H75" s="8"/>
      <c r="I75" s="7"/>
      <c r="J75" s="7"/>
      <c r="K75" s="7"/>
      <c r="L75" s="3"/>
      <c r="M75" s="3"/>
      <c r="N75" s="3"/>
      <c r="O75" s="3"/>
    </row>
    <row r="76" spans="1:15" x14ac:dyDescent="0.25">
      <c r="A76" s="7">
        <v>75</v>
      </c>
      <c r="B76" s="8">
        <v>26024553</v>
      </c>
      <c r="C76" s="13" t="s">
        <v>234</v>
      </c>
      <c r="D76" s="7"/>
      <c r="E76" s="14">
        <v>0</v>
      </c>
      <c r="F76" s="8">
        <v>6528</v>
      </c>
      <c r="G76" s="8"/>
      <c r="H76" s="8"/>
      <c r="I76" s="7"/>
      <c r="J76" s="7"/>
      <c r="K76" s="7"/>
      <c r="L76" s="3"/>
      <c r="M76" s="3"/>
      <c r="N76" s="3"/>
      <c r="O76" s="3"/>
    </row>
    <row r="77" spans="1:15" x14ac:dyDescent="0.25">
      <c r="A77" s="7">
        <v>76</v>
      </c>
      <c r="B77" s="8">
        <v>26253077</v>
      </c>
      <c r="C77" s="13" t="s">
        <v>674</v>
      </c>
      <c r="D77" s="7"/>
      <c r="E77" s="14">
        <v>0</v>
      </c>
      <c r="F77" s="8">
        <v>1248</v>
      </c>
      <c r="G77" s="8"/>
      <c r="H77" s="8"/>
      <c r="I77" s="7"/>
      <c r="J77" s="7"/>
      <c r="K77" s="7"/>
      <c r="L77" s="3"/>
      <c r="M77" s="3"/>
      <c r="N77" s="3"/>
      <c r="O77" s="3"/>
    </row>
    <row r="78" spans="1:15" x14ac:dyDescent="0.25">
      <c r="A78" s="7">
        <v>77</v>
      </c>
      <c r="B78" s="8">
        <v>26256952</v>
      </c>
      <c r="C78" s="13" t="s">
        <v>265</v>
      </c>
      <c r="D78" s="7"/>
      <c r="E78" s="14">
        <v>0</v>
      </c>
      <c r="F78" s="8">
        <v>2145</v>
      </c>
      <c r="G78" s="8"/>
      <c r="H78" s="8"/>
      <c r="I78" s="7"/>
      <c r="J78" s="7"/>
      <c r="K78" s="7"/>
      <c r="L78" s="3"/>
      <c r="M78" s="3"/>
      <c r="N78" s="3"/>
      <c r="O78" s="3"/>
    </row>
    <row r="79" spans="1:15" x14ac:dyDescent="0.25">
      <c r="A79" s="7">
        <v>78</v>
      </c>
      <c r="B79" s="8">
        <v>26024429</v>
      </c>
      <c r="C79" s="13" t="s">
        <v>234</v>
      </c>
      <c r="D79" s="7"/>
      <c r="E79" s="14">
        <v>0</v>
      </c>
      <c r="F79" s="8">
        <v>12069</v>
      </c>
      <c r="G79" s="8"/>
      <c r="H79" s="8"/>
      <c r="I79" s="7"/>
      <c r="J79" s="7"/>
      <c r="K79" s="7"/>
      <c r="L79" s="3"/>
      <c r="M79" s="3"/>
      <c r="N79" s="3"/>
      <c r="O79" s="3"/>
    </row>
    <row r="80" spans="1:15" x14ac:dyDescent="0.25">
      <c r="A80" s="7">
        <v>79</v>
      </c>
      <c r="B80" s="8">
        <v>26241773</v>
      </c>
      <c r="C80" s="13" t="s">
        <v>702</v>
      </c>
      <c r="D80" s="7"/>
      <c r="E80" s="14">
        <v>0</v>
      </c>
      <c r="F80" s="8">
        <v>2151</v>
      </c>
      <c r="G80" s="8"/>
      <c r="H80" s="8"/>
      <c r="I80" s="7"/>
      <c r="J80" s="7"/>
      <c r="K80" s="7"/>
      <c r="L80" s="3"/>
      <c r="M80" s="3"/>
      <c r="N80" s="3"/>
      <c r="O80" s="3"/>
    </row>
    <row r="81" spans="1:15" x14ac:dyDescent="0.25">
      <c r="A81" s="7">
        <v>80</v>
      </c>
      <c r="B81" s="8">
        <v>26259190</v>
      </c>
      <c r="C81" s="13" t="s">
        <v>265</v>
      </c>
      <c r="D81" s="7"/>
      <c r="E81" s="14">
        <v>0</v>
      </c>
      <c r="F81" s="8"/>
      <c r="G81" s="8"/>
      <c r="H81" s="8"/>
      <c r="I81" s="7"/>
      <c r="J81" s="7"/>
      <c r="K81" s="7"/>
      <c r="L81" s="3"/>
      <c r="M81" s="3"/>
      <c r="N81" s="3"/>
      <c r="O81" s="3"/>
    </row>
    <row r="82" spans="1:15" x14ac:dyDescent="0.25">
      <c r="A82" s="7">
        <v>81</v>
      </c>
      <c r="B82" s="8">
        <v>26217935</v>
      </c>
      <c r="C82" s="13" t="s">
        <v>337</v>
      </c>
      <c r="D82" s="7"/>
      <c r="E82" s="14">
        <v>0</v>
      </c>
      <c r="F82" s="8">
        <v>950</v>
      </c>
      <c r="G82" s="8"/>
      <c r="H82" s="8"/>
      <c r="I82" s="7"/>
      <c r="J82" s="7"/>
      <c r="K82" s="7"/>
      <c r="L82" s="3"/>
      <c r="M82" s="3"/>
      <c r="N82" s="3"/>
      <c r="O82" s="3"/>
    </row>
    <row r="83" spans="1:15" x14ac:dyDescent="0.25">
      <c r="A83" s="7">
        <v>82</v>
      </c>
      <c r="B83" s="8">
        <v>26241176</v>
      </c>
      <c r="C83" s="13" t="s">
        <v>266</v>
      </c>
      <c r="D83" s="7"/>
      <c r="E83" s="14">
        <v>0</v>
      </c>
      <c r="F83" s="8">
        <v>3037</v>
      </c>
      <c r="G83" s="8"/>
      <c r="H83" s="8"/>
      <c r="I83" s="7"/>
      <c r="J83" s="7"/>
      <c r="K83" s="7"/>
      <c r="L83" s="3"/>
      <c r="M83" s="3"/>
      <c r="N83" s="3"/>
      <c r="O83" s="3"/>
    </row>
    <row r="84" spans="1:15" x14ac:dyDescent="0.25">
      <c r="A84" s="7">
        <v>83</v>
      </c>
      <c r="B84" s="8">
        <v>26257348</v>
      </c>
      <c r="C84" s="13" t="s">
        <v>265</v>
      </c>
      <c r="D84" s="7"/>
      <c r="E84" s="14">
        <v>0</v>
      </c>
      <c r="F84" s="8">
        <v>1773</v>
      </c>
      <c r="G84" s="8"/>
      <c r="H84" s="8"/>
      <c r="I84" s="7"/>
      <c r="J84" s="7"/>
      <c r="K84" s="7"/>
      <c r="L84" s="3"/>
      <c r="M84" s="3"/>
      <c r="N84" s="3"/>
      <c r="O84" s="3"/>
    </row>
    <row r="85" spans="1:15" x14ac:dyDescent="0.25">
      <c r="A85" s="7">
        <v>84</v>
      </c>
      <c r="B85" s="8">
        <v>26021580</v>
      </c>
      <c r="C85" s="13" t="s">
        <v>1147</v>
      </c>
      <c r="D85" s="7"/>
      <c r="E85" s="14">
        <v>0</v>
      </c>
      <c r="F85" s="8">
        <v>16661</v>
      </c>
      <c r="G85" s="8"/>
      <c r="H85" s="8"/>
      <c r="I85" s="7"/>
      <c r="J85" s="7"/>
      <c r="K85" s="7"/>
      <c r="L85" s="3"/>
      <c r="M85" s="3"/>
      <c r="N85" s="3"/>
      <c r="O85" s="3"/>
    </row>
    <row r="86" spans="1:15" x14ac:dyDescent="0.25">
      <c r="A86" s="7">
        <v>85</v>
      </c>
      <c r="B86" s="8">
        <v>26021794</v>
      </c>
      <c r="C86" s="13" t="s">
        <v>636</v>
      </c>
      <c r="D86" s="7"/>
      <c r="E86" s="14">
        <v>0</v>
      </c>
      <c r="F86" s="8">
        <v>8929</v>
      </c>
      <c r="G86" s="8"/>
      <c r="H86" s="8"/>
      <c r="I86" s="7"/>
      <c r="J86" s="7"/>
      <c r="K86" s="7"/>
      <c r="L86" s="3"/>
      <c r="M86" s="3"/>
      <c r="N86" s="3"/>
      <c r="O86" s="3"/>
    </row>
    <row r="87" spans="1:15" x14ac:dyDescent="0.25">
      <c r="A87" s="7">
        <v>86</v>
      </c>
      <c r="B87" s="8">
        <v>26245131</v>
      </c>
      <c r="C87" s="13" t="s">
        <v>263</v>
      </c>
      <c r="D87" s="7"/>
      <c r="E87" s="14">
        <v>0</v>
      </c>
      <c r="F87" s="8">
        <v>295</v>
      </c>
      <c r="G87" s="8"/>
      <c r="H87" s="8"/>
      <c r="I87" s="7"/>
      <c r="J87" s="7"/>
      <c r="K87" s="7"/>
      <c r="L87" s="3"/>
      <c r="M87" s="3"/>
      <c r="N87" s="3"/>
      <c r="O87" s="3"/>
    </row>
    <row r="88" spans="1:15" x14ac:dyDescent="0.25">
      <c r="A88" s="7">
        <v>87</v>
      </c>
      <c r="B88" s="8">
        <v>26071143</v>
      </c>
      <c r="C88" s="13" t="s">
        <v>3709</v>
      </c>
      <c r="D88" s="7"/>
      <c r="E88" s="14">
        <v>0</v>
      </c>
      <c r="F88" s="8">
        <v>1994</v>
      </c>
      <c r="G88" s="8"/>
      <c r="H88" s="8"/>
      <c r="I88" s="7"/>
      <c r="J88" s="7"/>
      <c r="K88" s="7"/>
      <c r="L88" s="3"/>
      <c r="M88" s="3"/>
      <c r="N88" s="3"/>
      <c r="O88" s="3"/>
    </row>
    <row r="89" spans="1:15" x14ac:dyDescent="0.25">
      <c r="A89" s="7">
        <v>88</v>
      </c>
      <c r="B89" s="8">
        <v>26024719</v>
      </c>
      <c r="C89" s="13" t="s">
        <v>234</v>
      </c>
      <c r="D89" s="7"/>
      <c r="E89" s="14">
        <v>0</v>
      </c>
      <c r="F89" s="8">
        <v>11137</v>
      </c>
      <c r="G89" s="8"/>
      <c r="H89" s="8"/>
      <c r="I89" s="7"/>
      <c r="J89" s="7"/>
      <c r="K89" s="7"/>
      <c r="L89" s="3"/>
      <c r="M89" s="3"/>
      <c r="N89" s="3"/>
      <c r="O89" s="3"/>
    </row>
    <row r="90" spans="1:15" x14ac:dyDescent="0.25">
      <c r="A90" s="7">
        <v>89</v>
      </c>
      <c r="B90" s="8">
        <v>26024797</v>
      </c>
      <c r="C90" s="13" t="s">
        <v>3284</v>
      </c>
      <c r="D90" s="7"/>
      <c r="E90" s="14">
        <v>0</v>
      </c>
      <c r="F90" s="8">
        <v>16698</v>
      </c>
      <c r="G90" s="8"/>
      <c r="H90" s="8"/>
      <c r="I90" s="7"/>
      <c r="J90" s="7"/>
      <c r="K90" s="7"/>
      <c r="L90" s="3"/>
      <c r="M90" s="3"/>
      <c r="N90" s="3"/>
      <c r="O90" s="3"/>
    </row>
    <row r="91" spans="1:15" x14ac:dyDescent="0.25">
      <c r="A91" s="7">
        <v>90</v>
      </c>
      <c r="B91" s="8" t="s">
        <v>2856</v>
      </c>
      <c r="C91" s="13" t="s">
        <v>2857</v>
      </c>
      <c r="D91" s="7"/>
      <c r="E91" s="14">
        <v>0</v>
      </c>
      <c r="F91" s="8">
        <v>1103</v>
      </c>
      <c r="G91" s="8"/>
      <c r="H91" s="8"/>
      <c r="I91" s="7"/>
      <c r="J91" s="7"/>
      <c r="K91" s="7"/>
      <c r="L91" s="3"/>
      <c r="M91" s="3"/>
      <c r="N91" s="3"/>
      <c r="O91" s="3"/>
    </row>
    <row r="92" spans="1:15" x14ac:dyDescent="0.25">
      <c r="A92" s="7">
        <v>91</v>
      </c>
      <c r="B92" s="8">
        <v>26242078</v>
      </c>
      <c r="C92" s="13" t="s">
        <v>674</v>
      </c>
      <c r="D92" s="7"/>
      <c r="E92" s="14">
        <v>0</v>
      </c>
      <c r="F92" s="8">
        <v>734</v>
      </c>
      <c r="G92" s="8"/>
      <c r="H92" s="8"/>
      <c r="I92" s="7"/>
      <c r="J92" s="7"/>
      <c r="K92" s="7"/>
      <c r="L92" s="3"/>
      <c r="M92" s="3"/>
      <c r="N92" s="3"/>
      <c r="O92" s="3"/>
    </row>
    <row r="93" spans="1:15" x14ac:dyDescent="0.25">
      <c r="A93" s="7">
        <v>92</v>
      </c>
      <c r="B93" s="8">
        <v>26222800</v>
      </c>
      <c r="C93" s="13" t="s">
        <v>337</v>
      </c>
      <c r="D93" s="7"/>
      <c r="E93" s="14">
        <v>0</v>
      </c>
      <c r="F93" s="8">
        <v>726</v>
      </c>
      <c r="G93" s="8"/>
      <c r="H93" s="8"/>
      <c r="I93" s="7"/>
      <c r="J93" s="7"/>
      <c r="K93" s="7"/>
      <c r="L93" s="3"/>
      <c r="M93" s="3"/>
      <c r="N93" s="3"/>
      <c r="O93" s="3"/>
    </row>
    <row r="94" spans="1:15" x14ac:dyDescent="0.25">
      <c r="A94" s="7">
        <v>93</v>
      </c>
      <c r="B94" s="8">
        <v>26750605</v>
      </c>
      <c r="C94" s="13" t="s">
        <v>3189</v>
      </c>
      <c r="D94" s="7"/>
      <c r="E94" s="14">
        <v>0</v>
      </c>
      <c r="F94" s="8">
        <v>3419</v>
      </c>
      <c r="G94" s="8"/>
      <c r="H94" s="8"/>
      <c r="I94" s="7"/>
      <c r="J94" s="7"/>
      <c r="K94" s="7"/>
      <c r="L94" s="3"/>
      <c r="M94" s="3"/>
      <c r="N94" s="3"/>
      <c r="O94" s="3"/>
    </row>
    <row r="95" spans="1:15" x14ac:dyDescent="0.25">
      <c r="A95" s="7">
        <v>94</v>
      </c>
      <c r="B95" s="8">
        <v>26216316</v>
      </c>
      <c r="C95" s="13" t="s">
        <v>3191</v>
      </c>
      <c r="D95" s="7"/>
      <c r="E95" s="14">
        <v>0</v>
      </c>
      <c r="F95" s="8">
        <v>1393</v>
      </c>
      <c r="G95" s="8"/>
      <c r="H95" s="8"/>
      <c r="I95" s="7"/>
      <c r="J95" s="7"/>
      <c r="K95" s="7"/>
      <c r="L95" s="3"/>
      <c r="M95" s="3"/>
      <c r="N95" s="3"/>
      <c r="O95" s="3"/>
    </row>
    <row r="96" spans="1:15" x14ac:dyDescent="0.25">
      <c r="A96" s="7">
        <v>95</v>
      </c>
      <c r="B96" s="8">
        <v>26021894</v>
      </c>
      <c r="C96" s="14" t="s">
        <v>636</v>
      </c>
      <c r="D96" s="7"/>
      <c r="E96" s="7">
        <v>0</v>
      </c>
      <c r="F96" s="8">
        <v>4927</v>
      </c>
      <c r="G96" s="8"/>
      <c r="H96" s="8"/>
      <c r="I96" s="7"/>
      <c r="J96" s="7"/>
      <c r="K96" s="7"/>
      <c r="L96" s="3"/>
      <c r="M96" s="3"/>
      <c r="N96" s="3"/>
      <c r="O96" s="3"/>
    </row>
    <row r="97" spans="1:15" x14ac:dyDescent="0.25">
      <c r="A97" s="7">
        <v>96</v>
      </c>
      <c r="B97" s="8">
        <v>26256028</v>
      </c>
      <c r="C97" s="14" t="s">
        <v>636</v>
      </c>
      <c r="D97" s="7"/>
      <c r="E97" s="7">
        <v>0</v>
      </c>
      <c r="F97" s="8">
        <v>1918</v>
      </c>
      <c r="G97" s="8"/>
      <c r="H97" s="8"/>
      <c r="I97" s="7"/>
      <c r="J97" s="7"/>
      <c r="K97" s="7"/>
      <c r="L97" s="3"/>
      <c r="M97" s="3"/>
      <c r="N97" s="3"/>
      <c r="O97" s="3"/>
    </row>
    <row r="98" spans="1:15" x14ac:dyDescent="0.25">
      <c r="A98" s="7">
        <v>97</v>
      </c>
      <c r="B98" s="8">
        <v>26263137</v>
      </c>
      <c r="C98" s="29" t="s">
        <v>260</v>
      </c>
      <c r="D98" s="7"/>
      <c r="E98" s="7">
        <v>0</v>
      </c>
      <c r="F98" s="8">
        <v>1290</v>
      </c>
      <c r="G98" s="8"/>
      <c r="H98" s="8"/>
      <c r="I98" s="7"/>
      <c r="J98" s="7"/>
      <c r="K98" s="7"/>
      <c r="L98" s="3"/>
      <c r="M98" s="3"/>
      <c r="N98" s="3"/>
      <c r="O98" s="3"/>
    </row>
    <row r="99" spans="1:15" x14ac:dyDescent="0.25">
      <c r="A99" s="7">
        <v>98</v>
      </c>
      <c r="B99" s="8">
        <v>26021766</v>
      </c>
      <c r="C99" s="8" t="s">
        <v>806</v>
      </c>
      <c r="D99" s="7"/>
      <c r="E99" s="7">
        <v>0</v>
      </c>
      <c r="F99" s="8">
        <v>12359</v>
      </c>
      <c r="G99" s="8"/>
      <c r="H99" s="8"/>
      <c r="I99" s="7"/>
      <c r="J99" s="7"/>
      <c r="K99" s="7"/>
      <c r="L99" s="3"/>
      <c r="M99" s="3"/>
      <c r="N99" s="3"/>
      <c r="O99" s="3"/>
    </row>
    <row r="100" spans="1:15" x14ac:dyDescent="0.25">
      <c r="A100" s="7">
        <v>99</v>
      </c>
      <c r="B100" s="8">
        <v>26246834</v>
      </c>
      <c r="C100" s="8" t="s">
        <v>3808</v>
      </c>
      <c r="D100" s="7"/>
      <c r="E100" s="7">
        <v>0</v>
      </c>
      <c r="F100" s="8">
        <v>2540</v>
      </c>
      <c r="G100" s="8"/>
      <c r="H100" s="8"/>
      <c r="I100" s="7"/>
      <c r="J100" s="7"/>
      <c r="K100" s="7"/>
      <c r="L100" s="3"/>
      <c r="M100" s="3"/>
      <c r="N100" s="3"/>
      <c r="O100" s="3"/>
    </row>
    <row r="101" spans="1:15" x14ac:dyDescent="0.25">
      <c r="A101" s="7">
        <v>100</v>
      </c>
      <c r="B101" s="8">
        <v>26265860</v>
      </c>
      <c r="C101" s="13" t="s">
        <v>518</v>
      </c>
      <c r="D101" s="7"/>
      <c r="E101" s="7">
        <v>0</v>
      </c>
      <c r="F101" s="8">
        <v>702</v>
      </c>
      <c r="G101" s="8"/>
      <c r="H101" s="8"/>
      <c r="I101" s="7"/>
      <c r="J101" s="7"/>
      <c r="K101" s="7"/>
      <c r="L101" s="3"/>
      <c r="M101" s="3"/>
      <c r="N101" s="3"/>
      <c r="O101" s="3"/>
    </row>
    <row r="102" spans="1:15" x14ac:dyDescent="0.25">
      <c r="A102" s="7">
        <v>101</v>
      </c>
      <c r="B102" s="8">
        <v>26246390</v>
      </c>
      <c r="C102" s="13" t="s">
        <v>265</v>
      </c>
      <c r="D102" s="7"/>
      <c r="E102" s="7">
        <v>0</v>
      </c>
      <c r="F102" s="8">
        <v>3899</v>
      </c>
      <c r="G102" s="8"/>
      <c r="H102" s="8"/>
      <c r="I102" s="7"/>
      <c r="J102" s="7"/>
      <c r="K102" s="7"/>
      <c r="L102" s="3"/>
      <c r="M102" s="3"/>
      <c r="N102" s="3"/>
      <c r="O102" s="3"/>
    </row>
    <row r="103" spans="1:15" x14ac:dyDescent="0.25">
      <c r="A103" s="7">
        <v>102</v>
      </c>
      <c r="B103" s="8">
        <v>26021652</v>
      </c>
      <c r="C103" s="13" t="s">
        <v>3972</v>
      </c>
      <c r="D103" s="7"/>
      <c r="E103" s="7">
        <v>0</v>
      </c>
      <c r="F103" s="8">
        <v>8141</v>
      </c>
      <c r="G103" s="8"/>
      <c r="H103" s="8"/>
      <c r="I103" s="7"/>
      <c r="J103" s="7"/>
      <c r="K103" s="7"/>
      <c r="L103" s="3"/>
      <c r="M103" s="3"/>
      <c r="N103" s="3"/>
      <c r="O103" s="3"/>
    </row>
    <row r="104" spans="1:15" x14ac:dyDescent="0.25">
      <c r="A104" s="7">
        <v>103</v>
      </c>
      <c r="B104" s="8">
        <v>26219195</v>
      </c>
      <c r="C104" s="13" t="s">
        <v>344</v>
      </c>
      <c r="D104" s="7"/>
      <c r="E104" s="7">
        <v>0</v>
      </c>
      <c r="F104" s="8">
        <v>1377</v>
      </c>
      <c r="G104" s="8"/>
      <c r="H104" s="8"/>
      <c r="I104" s="7"/>
      <c r="J104" s="7"/>
      <c r="K104" s="7"/>
      <c r="L104" s="3"/>
      <c r="M104" s="3"/>
      <c r="N104" s="3"/>
      <c r="O104" s="3"/>
    </row>
    <row r="105" spans="1:15" x14ac:dyDescent="0.25">
      <c r="A105" s="7">
        <v>104</v>
      </c>
      <c r="B105" s="8">
        <v>26246769</v>
      </c>
      <c r="C105" s="13" t="s">
        <v>4240</v>
      </c>
      <c r="D105" s="7"/>
      <c r="E105" s="7">
        <v>0</v>
      </c>
      <c r="F105" s="8">
        <v>2989</v>
      </c>
      <c r="G105" s="8"/>
      <c r="H105" s="8"/>
      <c r="I105" s="7"/>
      <c r="J105" s="7"/>
      <c r="K105" s="7"/>
      <c r="L105" s="3"/>
      <c r="M105" s="3"/>
      <c r="N105" s="3"/>
      <c r="O105" s="3"/>
    </row>
    <row r="106" spans="1:15" x14ac:dyDescent="0.25">
      <c r="A106" s="7">
        <v>105</v>
      </c>
      <c r="B106" s="8">
        <v>26243629</v>
      </c>
      <c r="C106" s="13" t="s">
        <v>258</v>
      </c>
      <c r="D106" s="7"/>
      <c r="E106" s="7">
        <v>0</v>
      </c>
      <c r="F106" s="8">
        <v>1662</v>
      </c>
      <c r="G106" s="8"/>
      <c r="H106" s="8"/>
      <c r="I106" s="7"/>
      <c r="J106" s="7"/>
      <c r="K106" s="7"/>
      <c r="L106" s="3"/>
      <c r="M106" s="3"/>
      <c r="N106" s="3"/>
      <c r="O106" s="3"/>
    </row>
    <row r="107" spans="1:15" x14ac:dyDescent="0.25">
      <c r="A107" s="7">
        <v>106</v>
      </c>
      <c r="B107" s="8">
        <v>26223626</v>
      </c>
      <c r="C107" s="13" t="s">
        <v>337</v>
      </c>
      <c r="D107" s="7"/>
      <c r="E107" s="7">
        <v>0</v>
      </c>
      <c r="F107" s="8">
        <v>1392</v>
      </c>
      <c r="G107" s="8"/>
      <c r="H107" s="8"/>
      <c r="I107" s="7"/>
      <c r="J107" s="7"/>
      <c r="K107" s="7"/>
      <c r="L107" s="3"/>
      <c r="M107" s="3"/>
      <c r="N107" s="3"/>
      <c r="O107" s="3"/>
    </row>
    <row r="108" spans="1:15" x14ac:dyDescent="0.25">
      <c r="A108" s="7">
        <v>107</v>
      </c>
      <c r="B108" s="8">
        <v>26021310</v>
      </c>
      <c r="C108" s="13" t="s">
        <v>636</v>
      </c>
      <c r="D108" s="7"/>
      <c r="E108" s="7">
        <v>0</v>
      </c>
      <c r="F108" s="8">
        <v>13775</v>
      </c>
      <c r="G108" s="8"/>
      <c r="H108" s="8"/>
      <c r="I108" s="7"/>
      <c r="J108" s="7"/>
      <c r="K108" s="7"/>
      <c r="L108" s="3"/>
      <c r="M108" s="3"/>
      <c r="N108" s="3"/>
      <c r="O108" s="3"/>
    </row>
    <row r="109" spans="1:15" x14ac:dyDescent="0.25">
      <c r="A109" s="7">
        <v>108</v>
      </c>
      <c r="B109" s="8">
        <v>26075014</v>
      </c>
      <c r="C109" s="13" t="s">
        <v>3189</v>
      </c>
      <c r="D109" s="7"/>
      <c r="E109" s="7">
        <v>0</v>
      </c>
      <c r="F109" s="8">
        <v>3618</v>
      </c>
      <c r="G109" s="8"/>
      <c r="H109" s="8"/>
      <c r="I109" s="7"/>
      <c r="J109" s="7"/>
      <c r="K109" s="7"/>
      <c r="L109" s="3"/>
      <c r="M109" s="3"/>
      <c r="N109" s="3"/>
      <c r="O109" s="3"/>
    </row>
    <row r="110" spans="1:15" x14ac:dyDescent="0.25">
      <c r="A110" s="7">
        <v>109</v>
      </c>
      <c r="B110" s="8">
        <v>26224522</v>
      </c>
      <c r="C110" s="13" t="s">
        <v>4457</v>
      </c>
      <c r="D110" s="7"/>
      <c r="E110" s="7">
        <v>0</v>
      </c>
      <c r="F110" s="8"/>
      <c r="G110" s="8"/>
      <c r="H110" s="8"/>
      <c r="I110" s="7"/>
      <c r="J110" s="7"/>
      <c r="K110" s="7"/>
      <c r="L110" s="3"/>
      <c r="M110" s="3"/>
      <c r="N110" s="3"/>
      <c r="O110" s="3"/>
    </row>
    <row r="111" spans="1:15" x14ac:dyDescent="0.25">
      <c r="A111" s="7">
        <v>110</v>
      </c>
      <c r="B111" s="8">
        <v>26265934</v>
      </c>
      <c r="C111" s="13" t="s">
        <v>258</v>
      </c>
      <c r="D111" s="7"/>
      <c r="E111" s="7">
        <v>0</v>
      </c>
      <c r="F111" s="8"/>
      <c r="G111" s="8"/>
      <c r="H111" s="8"/>
      <c r="I111" s="7"/>
      <c r="J111" s="7"/>
      <c r="K111" s="7"/>
      <c r="L111" s="3"/>
      <c r="M111" s="3"/>
      <c r="N111" s="3"/>
      <c r="O111" s="3"/>
    </row>
    <row r="112" spans="1:15" x14ac:dyDescent="0.25">
      <c r="A112" s="7">
        <v>111</v>
      </c>
      <c r="B112" s="8" t="s">
        <v>14</v>
      </c>
      <c r="C112" s="8" t="s">
        <v>801</v>
      </c>
      <c r="D112" s="7"/>
      <c r="E112" s="7">
        <v>1</v>
      </c>
      <c r="F112" s="8">
        <v>4796</v>
      </c>
      <c r="G112" s="8"/>
      <c r="H112" s="8">
        <f>VLOOKUP(B112,'[1]HSN CODE  TAX RATE'!$A$1:$E$13821,5,0)</f>
        <v>28</v>
      </c>
      <c r="I112" s="7"/>
      <c r="J112" s="7"/>
      <c r="K112" s="8"/>
      <c r="L112" s="3"/>
      <c r="M112" s="3"/>
      <c r="N112" s="3"/>
      <c r="O112" s="3"/>
    </row>
    <row r="113" spans="1:15" x14ac:dyDescent="0.25">
      <c r="A113" s="7">
        <v>112</v>
      </c>
      <c r="B113" s="8">
        <v>26213197</v>
      </c>
      <c r="C113" s="8" t="s">
        <v>2735</v>
      </c>
      <c r="D113" s="7"/>
      <c r="E113" s="7">
        <v>1</v>
      </c>
      <c r="F113" s="8">
        <v>1893</v>
      </c>
      <c r="G113" s="8"/>
      <c r="H113" s="8">
        <f>VLOOKUP(B113,'[1]HSN CODE  TAX RATE'!$A$1:$E$13821,5,0)</f>
        <v>28</v>
      </c>
      <c r="I113" s="7"/>
      <c r="J113" s="7"/>
      <c r="K113" s="8"/>
      <c r="L113" s="3"/>
      <c r="M113" s="3"/>
      <c r="N113" s="3"/>
      <c r="O113" s="3"/>
    </row>
    <row r="114" spans="1:15" x14ac:dyDescent="0.25">
      <c r="A114" s="7">
        <v>113</v>
      </c>
      <c r="B114" s="8">
        <v>26214784</v>
      </c>
      <c r="C114" s="8" t="s">
        <v>245</v>
      </c>
      <c r="D114" s="7"/>
      <c r="E114" s="7">
        <v>1</v>
      </c>
      <c r="F114" s="8">
        <v>593</v>
      </c>
      <c r="G114" s="8"/>
      <c r="H114" s="8">
        <f>VLOOKUP(B114,'[1]HSN CODE  TAX RATE'!$A$1:$E$13821,5,0)</f>
        <v>28</v>
      </c>
      <c r="I114" s="7"/>
      <c r="J114" s="7"/>
      <c r="K114" s="8"/>
      <c r="L114" s="3"/>
      <c r="M114" s="3"/>
      <c r="N114" s="3"/>
      <c r="O114" s="3"/>
    </row>
    <row r="115" spans="1:15" s="3" customFormat="1" x14ac:dyDescent="0.25">
      <c r="A115" s="7">
        <v>114</v>
      </c>
      <c r="B115" s="8">
        <v>26215045</v>
      </c>
      <c r="C115" s="8" t="s">
        <v>246</v>
      </c>
      <c r="D115" s="7"/>
      <c r="E115" s="7">
        <v>1</v>
      </c>
      <c r="F115" s="8" t="s">
        <v>646</v>
      </c>
      <c r="G115" s="8"/>
      <c r="H115" s="8">
        <f>VLOOKUP(B115,'[1]HSN CODE  TAX RATE'!$A$1:$E$13821,5,0)</f>
        <v>28</v>
      </c>
      <c r="I115" s="7"/>
      <c r="J115" s="7"/>
      <c r="K115" s="8"/>
    </row>
    <row r="116" spans="1:15" x14ac:dyDescent="0.25">
      <c r="A116" s="7">
        <v>115</v>
      </c>
      <c r="B116" s="8">
        <v>26215046</v>
      </c>
      <c r="C116" s="8" t="s">
        <v>247</v>
      </c>
      <c r="D116" s="7"/>
      <c r="E116" s="7">
        <v>1</v>
      </c>
      <c r="F116" s="8">
        <v>930</v>
      </c>
      <c r="G116" s="8"/>
      <c r="H116" s="8">
        <f>VLOOKUP(B116,'[1]HSN CODE  TAX RATE'!$A$1:$E$13821,5,0)</f>
        <v>28</v>
      </c>
      <c r="I116" s="7"/>
      <c r="J116" s="7"/>
      <c r="K116" s="8"/>
      <c r="L116" s="3"/>
      <c r="M116" s="3"/>
      <c r="N116" s="3"/>
      <c r="O116" s="3"/>
    </row>
    <row r="117" spans="1:15" x14ac:dyDescent="0.25">
      <c r="A117" s="7">
        <v>116</v>
      </c>
      <c r="B117" s="8">
        <v>26215317</v>
      </c>
      <c r="C117" s="30" t="s">
        <v>240</v>
      </c>
      <c r="D117" s="7"/>
      <c r="E117" s="7">
        <v>1</v>
      </c>
      <c r="F117" s="8">
        <v>3278</v>
      </c>
      <c r="G117" s="8"/>
      <c r="H117" s="8">
        <f>VLOOKUP(B117,'[1]HSN CODE  TAX RATE'!$A$1:$E$13821,5,0)</f>
        <v>28</v>
      </c>
      <c r="I117" s="7"/>
      <c r="J117" s="7"/>
      <c r="K117" s="8"/>
      <c r="L117" s="3"/>
      <c r="M117" s="3"/>
      <c r="N117" s="3"/>
      <c r="O117" s="3"/>
    </row>
    <row r="118" spans="1:15" x14ac:dyDescent="0.25">
      <c r="A118" s="7">
        <v>117</v>
      </c>
      <c r="B118" s="8">
        <v>26215451</v>
      </c>
      <c r="C118" s="29" t="s">
        <v>249</v>
      </c>
      <c r="D118" s="7"/>
      <c r="E118" s="7">
        <v>1</v>
      </c>
      <c r="F118" s="8">
        <v>4244</v>
      </c>
      <c r="G118" s="8"/>
      <c r="H118" s="8">
        <f>VLOOKUP(B118,'[1]HSN CODE  TAX RATE'!$A$1:$E$13821,5,0)</f>
        <v>28</v>
      </c>
      <c r="I118" s="7"/>
      <c r="J118" s="7"/>
      <c r="K118" s="8"/>
      <c r="L118" s="3"/>
      <c r="M118" s="3"/>
      <c r="N118" s="3"/>
      <c r="O118" s="3"/>
    </row>
    <row r="119" spans="1:15" x14ac:dyDescent="0.25">
      <c r="A119" s="7">
        <v>118</v>
      </c>
      <c r="B119" s="8">
        <v>26240058</v>
      </c>
      <c r="C119" s="8" t="s">
        <v>254</v>
      </c>
      <c r="D119" s="7"/>
      <c r="E119" s="7">
        <v>1</v>
      </c>
      <c r="F119" s="8">
        <v>166</v>
      </c>
      <c r="G119" s="8"/>
      <c r="H119" s="8">
        <f>VLOOKUP(B119,'[1]HSN CODE  TAX RATE'!$A$1:$E$13821,5,0)</f>
        <v>28</v>
      </c>
      <c r="I119" s="7"/>
      <c r="J119" s="7"/>
      <c r="K119" s="8">
        <v>6</v>
      </c>
      <c r="L119" s="3"/>
      <c r="M119" s="3"/>
      <c r="N119" s="3"/>
      <c r="O119" s="3"/>
    </row>
    <row r="120" spans="1:15" x14ac:dyDescent="0.25">
      <c r="A120" s="7">
        <v>119</v>
      </c>
      <c r="B120" s="8">
        <v>26241589</v>
      </c>
      <c r="C120" s="8" t="s">
        <v>468</v>
      </c>
      <c r="D120" s="7"/>
      <c r="E120" s="7">
        <v>1</v>
      </c>
      <c r="F120" s="8">
        <v>1933</v>
      </c>
      <c r="G120" s="8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 x14ac:dyDescent="0.25">
      <c r="A121" s="7">
        <v>120</v>
      </c>
      <c r="B121" s="8">
        <v>26241681</v>
      </c>
      <c r="C121" s="8" t="s">
        <v>243</v>
      </c>
      <c r="D121" s="7"/>
      <c r="E121" s="7">
        <v>1</v>
      </c>
      <c r="F121" s="8">
        <v>366</v>
      </c>
      <c r="G121" s="8"/>
      <c r="H121" s="8">
        <f>VLOOKUP(B121,'[1]HSN CODE  TAX RATE'!$A$1:$E$13821,5,0)</f>
        <v>28</v>
      </c>
      <c r="I121" s="7"/>
      <c r="J121" s="7"/>
      <c r="K121" s="8">
        <v>6</v>
      </c>
      <c r="L121" s="3"/>
      <c r="M121" s="3"/>
      <c r="N121" s="3"/>
      <c r="O121" s="3"/>
    </row>
    <row r="122" spans="1:15" x14ac:dyDescent="0.25">
      <c r="A122" s="7">
        <v>121</v>
      </c>
      <c r="B122" s="8">
        <v>26256557</v>
      </c>
      <c r="C122" s="8" t="s">
        <v>256</v>
      </c>
      <c r="D122" s="7"/>
      <c r="E122" s="7">
        <v>1</v>
      </c>
      <c r="F122" s="8">
        <v>1944</v>
      </c>
      <c r="G122" s="8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 x14ac:dyDescent="0.25">
      <c r="A123" s="7">
        <v>122</v>
      </c>
      <c r="B123" s="8">
        <v>26256675</v>
      </c>
      <c r="C123" s="29" t="s">
        <v>198</v>
      </c>
      <c r="D123" s="7"/>
      <c r="E123" s="7">
        <v>1</v>
      </c>
      <c r="F123" s="8">
        <v>1086</v>
      </c>
      <c r="G123" s="8"/>
      <c r="H123" s="8">
        <f>VLOOKUP(B123,'[1]HSN CODE  TAX RATE'!$A$1:$E$13821,5,0)</f>
        <v>28</v>
      </c>
      <c r="I123" s="13"/>
      <c r="J123" s="13"/>
      <c r="K123" s="8"/>
      <c r="L123" s="3"/>
      <c r="M123" s="3"/>
      <c r="N123" s="3"/>
      <c r="O123" s="3"/>
    </row>
    <row r="124" spans="1:15" x14ac:dyDescent="0.25">
      <c r="A124" s="7">
        <v>123</v>
      </c>
      <c r="B124" s="8" t="s">
        <v>16</v>
      </c>
      <c r="C124" s="36" t="s">
        <v>1740</v>
      </c>
      <c r="D124" s="7"/>
      <c r="E124" s="7">
        <v>1</v>
      </c>
      <c r="F124" s="8">
        <v>9474</v>
      </c>
      <c r="G124" s="8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 x14ac:dyDescent="0.25">
      <c r="A125" s="7">
        <v>124</v>
      </c>
      <c r="B125" s="8">
        <v>26247641</v>
      </c>
      <c r="C125" s="8" t="s">
        <v>262</v>
      </c>
      <c r="D125" s="7"/>
      <c r="E125" s="7">
        <v>1</v>
      </c>
      <c r="F125" s="8">
        <v>4178</v>
      </c>
      <c r="G125" s="8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 x14ac:dyDescent="0.25">
      <c r="A126" s="7">
        <v>125</v>
      </c>
      <c r="B126" s="8">
        <v>26243492</v>
      </c>
      <c r="C126" s="8" t="s">
        <v>91</v>
      </c>
      <c r="D126" s="7"/>
      <c r="E126" s="7">
        <v>1</v>
      </c>
      <c r="F126" s="8">
        <v>2677</v>
      </c>
      <c r="G126" s="8"/>
      <c r="H126" s="8">
        <f>VLOOKUP(B126,'[1]HSN CODE  TAX RATE'!$A$1:$E$13821,5,0)</f>
        <v>28</v>
      </c>
      <c r="I126" s="7"/>
      <c r="J126" s="7"/>
      <c r="K126" s="8">
        <v>4</v>
      </c>
      <c r="L126" s="3"/>
      <c r="M126" s="3"/>
      <c r="N126" s="3"/>
      <c r="O126" s="3"/>
    </row>
    <row r="127" spans="1:15" x14ac:dyDescent="0.25">
      <c r="A127" s="7">
        <v>126</v>
      </c>
      <c r="B127" s="8">
        <v>26075007</v>
      </c>
      <c r="C127" s="8" t="s">
        <v>287</v>
      </c>
      <c r="D127" s="7"/>
      <c r="E127" s="7">
        <v>1</v>
      </c>
      <c r="F127" s="8">
        <v>4234</v>
      </c>
      <c r="G127" s="8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 x14ac:dyDescent="0.25">
      <c r="A128" s="7">
        <v>127</v>
      </c>
      <c r="B128" s="8">
        <v>26241530</v>
      </c>
      <c r="C128" s="8" t="s">
        <v>153</v>
      </c>
      <c r="D128" s="7"/>
      <c r="E128" s="7">
        <v>1</v>
      </c>
      <c r="F128" s="8">
        <v>512</v>
      </c>
      <c r="G128" s="8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 x14ac:dyDescent="0.25">
      <c r="A129" s="7">
        <v>128</v>
      </c>
      <c r="B129" s="8" t="s">
        <v>26</v>
      </c>
      <c r="C129" s="8" t="s">
        <v>836</v>
      </c>
      <c r="D129" s="7"/>
      <c r="E129" s="7">
        <v>1</v>
      </c>
      <c r="F129" s="8">
        <v>1066</v>
      </c>
      <c r="G129" s="8"/>
      <c r="H129" s="8">
        <f>VLOOKUP(B129,'[1]HSN CODE  TAX RATE'!$A$1:$E$13821,5,0)</f>
        <v>28</v>
      </c>
      <c r="I129" s="7"/>
      <c r="J129" s="7"/>
      <c r="K129" s="8"/>
      <c r="L129" s="3"/>
      <c r="M129" s="3"/>
      <c r="N129" s="3"/>
      <c r="O129" s="3"/>
    </row>
    <row r="130" spans="1:15" x14ac:dyDescent="0.25">
      <c r="A130" s="7">
        <v>129</v>
      </c>
      <c r="B130" s="8">
        <v>26215524</v>
      </c>
      <c r="C130" s="8" t="s">
        <v>4</v>
      </c>
      <c r="D130" s="7"/>
      <c r="E130" s="7">
        <v>1</v>
      </c>
      <c r="F130" s="8">
        <v>2758</v>
      </c>
      <c r="G130" s="8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 x14ac:dyDescent="0.25">
      <c r="A131" s="7">
        <v>130</v>
      </c>
      <c r="B131" s="8" t="s">
        <v>168</v>
      </c>
      <c r="C131" s="8" t="s">
        <v>417</v>
      </c>
      <c r="D131" s="7"/>
      <c r="E131" s="7">
        <v>1</v>
      </c>
      <c r="F131" s="8">
        <v>15580</v>
      </c>
      <c r="G131" s="8"/>
      <c r="H131" s="8">
        <f>VLOOKUP(B131,'[1]HSN CODE  TAX RATE'!$A$1:$E$13821,5,0)</f>
        <v>28</v>
      </c>
      <c r="I131" s="7"/>
      <c r="J131" s="7"/>
      <c r="K131" s="8"/>
      <c r="L131" s="3"/>
      <c r="M131" s="3"/>
      <c r="N131" s="3"/>
      <c r="O131" s="3"/>
    </row>
    <row r="132" spans="1:15" x14ac:dyDescent="0.25">
      <c r="A132" s="7">
        <v>131</v>
      </c>
      <c r="B132" s="8">
        <v>26717840</v>
      </c>
      <c r="C132" s="8" t="s">
        <v>169</v>
      </c>
      <c r="D132" s="7"/>
      <c r="E132" s="7">
        <v>1</v>
      </c>
      <c r="F132" s="8">
        <v>516</v>
      </c>
      <c r="G132" s="8"/>
      <c r="H132" s="8">
        <f>VLOOKUP(B132,'[1]HSN CODE  TAX RATE'!$A$1:$E$13821,5,0)</f>
        <v>18</v>
      </c>
      <c r="I132" s="7"/>
      <c r="J132" s="7"/>
      <c r="K132" s="8"/>
      <c r="L132" s="3"/>
      <c r="M132" s="3"/>
      <c r="N132" s="3"/>
      <c r="O132" s="3"/>
    </row>
    <row r="133" spans="1:15" x14ac:dyDescent="0.25">
      <c r="A133" s="7">
        <v>132</v>
      </c>
      <c r="B133" s="8">
        <v>26245167</v>
      </c>
      <c r="C133" s="8" t="s">
        <v>414</v>
      </c>
      <c r="D133" s="7"/>
      <c r="E133" s="7">
        <v>1</v>
      </c>
      <c r="F133" s="8">
        <v>609</v>
      </c>
      <c r="G133" s="8"/>
      <c r="H133" s="8">
        <f>VLOOKUP(B133,'[1]HSN CODE  TAX RATE'!$A$1:$E$13821,5,0)</f>
        <v>28</v>
      </c>
      <c r="I133" s="13"/>
      <c r="J133" s="13"/>
      <c r="K133" s="8"/>
      <c r="L133" s="3"/>
      <c r="M133" s="3"/>
      <c r="N133" s="3"/>
      <c r="O133" s="3"/>
    </row>
    <row r="134" spans="1:15" x14ac:dyDescent="0.25">
      <c r="A134" s="7">
        <v>133</v>
      </c>
      <c r="B134" s="8">
        <v>26214720</v>
      </c>
      <c r="C134" s="8" t="s">
        <v>175</v>
      </c>
      <c r="D134" s="7"/>
      <c r="E134" s="7">
        <v>1</v>
      </c>
      <c r="F134" s="8">
        <v>1100</v>
      </c>
      <c r="G134" s="8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 x14ac:dyDescent="0.25">
      <c r="A135" s="7">
        <v>134</v>
      </c>
      <c r="B135" s="8">
        <v>26248204</v>
      </c>
      <c r="C135" s="8" t="s">
        <v>176</v>
      </c>
      <c r="D135" s="7"/>
      <c r="E135" s="7">
        <v>1</v>
      </c>
      <c r="F135" s="8">
        <v>2066</v>
      </c>
      <c r="G135" s="8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 x14ac:dyDescent="0.25">
      <c r="A136" s="7">
        <v>135</v>
      </c>
      <c r="B136" s="8">
        <v>26046062</v>
      </c>
      <c r="C136" s="8" t="s">
        <v>466</v>
      </c>
      <c r="D136" s="7"/>
      <c r="E136" s="7">
        <v>1</v>
      </c>
      <c r="F136" s="8">
        <v>5215</v>
      </c>
      <c r="G136" s="8"/>
      <c r="H136" s="8">
        <f>VLOOKUP(B136,'[1]HSN CODE  TAX RATE'!$A$1:$E$13821,5,0)</f>
        <v>28</v>
      </c>
      <c r="I136" s="13"/>
      <c r="J136" s="13"/>
      <c r="K136" s="8"/>
      <c r="L136" s="3"/>
      <c r="M136" s="3"/>
      <c r="N136" s="3"/>
      <c r="O136" s="3"/>
    </row>
    <row r="137" spans="1:15" x14ac:dyDescent="0.25">
      <c r="A137" s="7">
        <v>136</v>
      </c>
      <c r="B137" s="8">
        <v>70050081</v>
      </c>
      <c r="C137" s="8" t="s">
        <v>290</v>
      </c>
      <c r="D137" s="7"/>
      <c r="E137" s="7">
        <v>1</v>
      </c>
      <c r="F137" s="8">
        <v>1100</v>
      </c>
      <c r="G137" s="8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 x14ac:dyDescent="0.25">
      <c r="A138" s="7">
        <v>137</v>
      </c>
      <c r="B138" s="8">
        <v>70050150</v>
      </c>
      <c r="C138" s="8" t="s">
        <v>292</v>
      </c>
      <c r="D138" s="7"/>
      <c r="E138" s="7">
        <v>1</v>
      </c>
      <c r="F138" s="8">
        <v>952</v>
      </c>
      <c r="G138" s="8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 x14ac:dyDescent="0.25">
      <c r="A139" s="7">
        <v>138</v>
      </c>
      <c r="B139" s="8">
        <v>70050001</v>
      </c>
      <c r="C139" s="8" t="s">
        <v>292</v>
      </c>
      <c r="D139" s="7"/>
      <c r="E139" s="7">
        <v>1</v>
      </c>
      <c r="F139" s="8">
        <v>864</v>
      </c>
      <c r="G139" s="8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 x14ac:dyDescent="0.25">
      <c r="A140" s="7">
        <v>139</v>
      </c>
      <c r="B140" s="8">
        <v>26216912</v>
      </c>
      <c r="C140" s="8" t="s">
        <v>215</v>
      </c>
      <c r="D140" s="7"/>
      <c r="E140" s="7">
        <v>1</v>
      </c>
      <c r="F140" s="8">
        <v>2248</v>
      </c>
      <c r="G140" s="8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 x14ac:dyDescent="0.25">
      <c r="A141" s="7">
        <v>140</v>
      </c>
      <c r="B141" s="8">
        <v>26024630</v>
      </c>
      <c r="C141" s="8" t="s">
        <v>234</v>
      </c>
      <c r="D141" s="7"/>
      <c r="E141" s="7">
        <v>1</v>
      </c>
      <c r="F141" s="8">
        <v>7700</v>
      </c>
      <c r="G141" s="8"/>
      <c r="H141" s="8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 x14ac:dyDescent="0.25">
      <c r="A142" s="7">
        <v>141</v>
      </c>
      <c r="B142" s="8" t="s">
        <v>327</v>
      </c>
      <c r="C142" s="13" t="s">
        <v>808</v>
      </c>
      <c r="D142" s="7"/>
      <c r="E142" s="14">
        <v>1</v>
      </c>
      <c r="F142" s="8" t="s">
        <v>2343</v>
      </c>
      <c r="G142" s="8"/>
      <c r="H142" s="8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 x14ac:dyDescent="0.25">
      <c r="A143" s="7">
        <v>142</v>
      </c>
      <c r="B143" s="8" t="s">
        <v>328</v>
      </c>
      <c r="C143" s="13" t="s">
        <v>4121</v>
      </c>
      <c r="D143" s="7"/>
      <c r="E143" s="14">
        <v>1</v>
      </c>
      <c r="F143" s="8">
        <v>7399</v>
      </c>
      <c r="G143" s="8"/>
      <c r="H143" s="8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 x14ac:dyDescent="0.25">
      <c r="A144" s="7">
        <v>143</v>
      </c>
      <c r="B144" s="8">
        <v>26256748</v>
      </c>
      <c r="C144" s="13" t="s">
        <v>434</v>
      </c>
      <c r="D144" s="7"/>
      <c r="E144" s="14">
        <v>1</v>
      </c>
      <c r="F144" s="8">
        <v>2029</v>
      </c>
      <c r="G144" s="8"/>
      <c r="H144" s="8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 x14ac:dyDescent="0.25">
      <c r="A145" s="7">
        <v>144</v>
      </c>
      <c r="B145" s="8" t="s">
        <v>347</v>
      </c>
      <c r="C145" s="13" t="s">
        <v>348</v>
      </c>
      <c r="D145" s="7"/>
      <c r="E145" s="14">
        <v>1</v>
      </c>
      <c r="F145" s="8">
        <v>2581</v>
      </c>
      <c r="G145" s="8"/>
      <c r="H145" s="8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 x14ac:dyDescent="0.25">
      <c r="A146" s="7">
        <v>145</v>
      </c>
      <c r="B146" s="8">
        <v>26212389</v>
      </c>
      <c r="C146" s="13" t="s">
        <v>245</v>
      </c>
      <c r="D146" s="7"/>
      <c r="E146" s="14">
        <v>1</v>
      </c>
      <c r="F146" s="8">
        <v>860</v>
      </c>
      <c r="G146" s="8"/>
      <c r="H146" s="8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 x14ac:dyDescent="0.25">
      <c r="A147" s="7">
        <v>146</v>
      </c>
      <c r="B147" s="8">
        <v>26214105</v>
      </c>
      <c r="C147" s="13" t="s">
        <v>337</v>
      </c>
      <c r="D147" s="7"/>
      <c r="E147" s="14">
        <v>1</v>
      </c>
      <c r="F147" s="8">
        <v>1051</v>
      </c>
      <c r="G147" s="8"/>
      <c r="H147" s="8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 x14ac:dyDescent="0.25">
      <c r="A148" s="7">
        <v>147</v>
      </c>
      <c r="B148" s="8">
        <v>26247629</v>
      </c>
      <c r="C148" s="13" t="s">
        <v>443</v>
      </c>
      <c r="D148" s="7"/>
      <c r="E148" s="14">
        <v>1</v>
      </c>
      <c r="F148" s="8" t="s">
        <v>1782</v>
      </c>
      <c r="G148" s="8"/>
      <c r="H148" s="8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 x14ac:dyDescent="0.25">
      <c r="A149" s="7">
        <v>148</v>
      </c>
      <c r="B149" s="8">
        <v>26216925</v>
      </c>
      <c r="C149" s="13" t="s">
        <v>452</v>
      </c>
      <c r="D149" s="7"/>
      <c r="E149" s="14">
        <v>1</v>
      </c>
      <c r="F149" s="8">
        <v>2500</v>
      </c>
      <c r="G149" s="8"/>
      <c r="H149" s="8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 x14ac:dyDescent="0.25">
      <c r="A150" s="7">
        <v>149</v>
      </c>
      <c r="B150" s="8">
        <v>26213939</v>
      </c>
      <c r="C150" s="13" t="s">
        <v>471</v>
      </c>
      <c r="D150" s="7"/>
      <c r="E150" s="14">
        <v>1</v>
      </c>
      <c r="F150" s="8">
        <v>1368</v>
      </c>
      <c r="G150" s="8"/>
      <c r="H150" s="8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 x14ac:dyDescent="0.25">
      <c r="A151" s="7">
        <v>150</v>
      </c>
      <c r="B151" s="8">
        <v>26253621</v>
      </c>
      <c r="C151" s="13" t="s">
        <v>198</v>
      </c>
      <c r="D151" s="7"/>
      <c r="E151" s="14">
        <v>1</v>
      </c>
      <c r="F151" s="8">
        <v>994</v>
      </c>
      <c r="G151" s="8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 x14ac:dyDescent="0.25">
      <c r="A152" s="7">
        <v>151</v>
      </c>
      <c r="B152" s="8">
        <v>26021249</v>
      </c>
      <c r="C152" s="40" t="s">
        <v>3192</v>
      </c>
      <c r="D152" s="7"/>
      <c r="E152" s="7">
        <v>1</v>
      </c>
      <c r="F152" s="8">
        <v>5047</v>
      </c>
      <c r="G152" s="8"/>
      <c r="H152" s="8">
        <f>VLOOKUP(B152,'[1]HSN CODE  TAX RATE'!$A$1:$E$13821,5,0)</f>
        <v>28</v>
      </c>
      <c r="I152" s="7"/>
      <c r="J152" s="7"/>
      <c r="K152" s="8"/>
      <c r="L152" s="3"/>
      <c r="M152" s="3"/>
      <c r="N152" s="3"/>
      <c r="O152" s="3"/>
    </row>
    <row r="153" spans="1:15" x14ac:dyDescent="0.25">
      <c r="A153" s="7">
        <v>152</v>
      </c>
      <c r="B153" s="8">
        <v>26256856</v>
      </c>
      <c r="C153" s="8" t="s">
        <v>207</v>
      </c>
      <c r="D153" s="7"/>
      <c r="E153" s="7">
        <v>1</v>
      </c>
      <c r="F153" s="8">
        <v>255</v>
      </c>
      <c r="G153" s="8"/>
      <c r="H153" s="8">
        <f>VLOOKUP(B153,'[1]HSN CODE  TAX RATE'!$A$1:$E$13821,5,0)</f>
        <v>28</v>
      </c>
      <c r="I153" s="7"/>
      <c r="J153" s="7"/>
      <c r="K153" s="8"/>
      <c r="L153" s="3"/>
      <c r="M153" s="3"/>
      <c r="N153" s="3"/>
      <c r="O153" s="3"/>
    </row>
    <row r="154" spans="1:15" x14ac:dyDescent="0.25">
      <c r="A154" s="7">
        <v>153</v>
      </c>
      <c r="B154" s="8">
        <v>26249655</v>
      </c>
      <c r="C154" s="8" t="s">
        <v>239</v>
      </c>
      <c r="D154" s="7"/>
      <c r="E154" s="7">
        <v>1</v>
      </c>
      <c r="F154" s="8">
        <v>1062</v>
      </c>
      <c r="G154" s="8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 x14ac:dyDescent="0.25">
      <c r="A155" s="7">
        <v>154</v>
      </c>
      <c r="B155" s="8">
        <v>26241797</v>
      </c>
      <c r="C155" s="8" t="s">
        <v>282</v>
      </c>
      <c r="D155" s="7"/>
      <c r="E155" s="7">
        <v>1</v>
      </c>
      <c r="F155" s="8">
        <v>670</v>
      </c>
      <c r="G155" s="8"/>
      <c r="H155" s="8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 x14ac:dyDescent="0.25">
      <c r="A156" s="7">
        <v>155</v>
      </c>
      <c r="B156" s="8">
        <v>26258785</v>
      </c>
      <c r="C156" s="8" t="s">
        <v>1660</v>
      </c>
      <c r="D156" s="7"/>
      <c r="E156" s="7">
        <v>1</v>
      </c>
      <c r="F156" s="8">
        <v>1261</v>
      </c>
      <c r="G156" s="8"/>
      <c r="H156" s="8">
        <f>VLOOKUP(B156,'[1]HSN CODE  TAX RATE'!$A$1:$E$13821,5,0)</f>
        <v>28</v>
      </c>
      <c r="I156" s="13"/>
      <c r="J156" s="13"/>
      <c r="K156" s="8"/>
      <c r="L156" s="3"/>
      <c r="M156" s="3"/>
      <c r="N156" s="3"/>
      <c r="O156" s="3"/>
    </row>
    <row r="157" spans="1:15" x14ac:dyDescent="0.25">
      <c r="A157" s="7">
        <v>156</v>
      </c>
      <c r="B157" s="8">
        <v>26024505</v>
      </c>
      <c r="C157" s="13" t="s">
        <v>573</v>
      </c>
      <c r="D157" s="7"/>
      <c r="E157" s="14">
        <v>1</v>
      </c>
      <c r="F157" s="8">
        <v>7892</v>
      </c>
      <c r="G157" s="8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 x14ac:dyDescent="0.25">
      <c r="A158" s="7">
        <v>157</v>
      </c>
      <c r="B158" s="8">
        <v>26216037</v>
      </c>
      <c r="C158" s="13" t="s">
        <v>245</v>
      </c>
      <c r="D158" s="7"/>
      <c r="E158" s="14">
        <v>1</v>
      </c>
      <c r="F158" s="8">
        <v>1674</v>
      </c>
      <c r="G158" s="8"/>
      <c r="H158" s="8"/>
      <c r="I158" s="7"/>
      <c r="J158" s="7"/>
      <c r="K158" s="7"/>
      <c r="L158" s="3"/>
      <c r="M158" s="3"/>
      <c r="N158" s="3"/>
      <c r="O158" s="3"/>
    </row>
    <row r="159" spans="1:15" x14ac:dyDescent="0.25">
      <c r="A159" s="7">
        <v>158</v>
      </c>
      <c r="B159" s="8">
        <v>26021430</v>
      </c>
      <c r="C159" s="13" t="s">
        <v>530</v>
      </c>
      <c r="D159" s="7"/>
      <c r="E159" s="14">
        <v>1</v>
      </c>
      <c r="F159" s="8">
        <v>11159</v>
      </c>
      <c r="G159" s="8"/>
      <c r="H159" s="8"/>
      <c r="I159" s="7"/>
      <c r="J159" s="7"/>
      <c r="K159" s="7"/>
      <c r="L159" s="3"/>
      <c r="M159" s="3"/>
      <c r="N159" s="3"/>
      <c r="O159" s="3"/>
    </row>
    <row r="160" spans="1:15" x14ac:dyDescent="0.25">
      <c r="A160" s="7">
        <v>159</v>
      </c>
      <c r="B160" s="8">
        <v>26246564</v>
      </c>
      <c r="C160" s="13" t="s">
        <v>533</v>
      </c>
      <c r="D160" s="7"/>
      <c r="E160" s="14">
        <v>1</v>
      </c>
      <c r="F160" s="8">
        <v>261</v>
      </c>
      <c r="G160" s="8"/>
      <c r="H160" s="8"/>
      <c r="I160" s="7"/>
      <c r="J160" s="7"/>
      <c r="K160" s="7" t="s">
        <v>534</v>
      </c>
      <c r="L160" s="3"/>
      <c r="M160" s="3"/>
      <c r="N160" s="3"/>
      <c r="O160" s="3"/>
    </row>
    <row r="161" spans="1:15" x14ac:dyDescent="0.25">
      <c r="A161" s="7">
        <v>160</v>
      </c>
      <c r="B161" s="8">
        <v>26245796</v>
      </c>
      <c r="C161" s="13" t="s">
        <v>258</v>
      </c>
      <c r="D161" s="7"/>
      <c r="E161" s="14">
        <v>1</v>
      </c>
      <c r="F161" s="8">
        <v>3102</v>
      </c>
      <c r="G161" s="8"/>
      <c r="H161" s="8"/>
      <c r="I161" s="7"/>
      <c r="J161" s="7"/>
      <c r="K161" s="7"/>
      <c r="L161" s="3"/>
      <c r="M161" s="3"/>
      <c r="N161" s="3"/>
      <c r="O161" s="3"/>
    </row>
    <row r="162" spans="1:15" x14ac:dyDescent="0.25">
      <c r="A162" s="7">
        <v>161</v>
      </c>
      <c r="B162" s="8">
        <v>26021431</v>
      </c>
      <c r="C162" s="13" t="s">
        <v>1427</v>
      </c>
      <c r="D162" s="7"/>
      <c r="E162" s="14">
        <v>1</v>
      </c>
      <c r="F162" s="8">
        <v>6227</v>
      </c>
      <c r="G162" s="8"/>
      <c r="H162" s="8"/>
      <c r="I162" s="7"/>
      <c r="J162" s="7"/>
      <c r="K162" s="7"/>
      <c r="L162" s="3"/>
      <c r="M162" s="3"/>
      <c r="N162" s="3"/>
      <c r="O162" s="3"/>
    </row>
    <row r="163" spans="1:15" x14ac:dyDescent="0.25">
      <c r="A163" s="7">
        <v>162</v>
      </c>
      <c r="B163" s="8">
        <v>26260267</v>
      </c>
      <c r="C163" s="13" t="s">
        <v>423</v>
      </c>
      <c r="D163" s="7"/>
      <c r="E163" s="14">
        <v>1</v>
      </c>
      <c r="F163" s="8">
        <v>764</v>
      </c>
      <c r="G163" s="8"/>
      <c r="H163" s="8"/>
      <c r="I163" s="7"/>
      <c r="J163" s="7"/>
      <c r="K163" s="7"/>
      <c r="L163" s="3"/>
      <c r="M163" s="3"/>
      <c r="N163" s="3"/>
      <c r="O163" s="3"/>
    </row>
    <row r="164" spans="1:15" x14ac:dyDescent="0.25">
      <c r="A164" s="7">
        <v>163</v>
      </c>
      <c r="B164" s="8">
        <v>26244777</v>
      </c>
      <c r="C164" s="13" t="s">
        <v>563</v>
      </c>
      <c r="D164" s="7"/>
      <c r="E164" s="14">
        <v>1</v>
      </c>
      <c r="F164" s="8">
        <v>3105</v>
      </c>
      <c r="G164" s="8"/>
      <c r="H164" s="8"/>
      <c r="I164" s="7"/>
      <c r="J164" s="7"/>
      <c r="K164" s="7"/>
      <c r="L164" s="3"/>
      <c r="M164" s="3"/>
      <c r="N164" s="3"/>
      <c r="O164" s="3"/>
    </row>
    <row r="165" spans="1:15" x14ac:dyDescent="0.25">
      <c r="A165" s="7">
        <v>164</v>
      </c>
      <c r="B165" s="8">
        <v>26021465</v>
      </c>
      <c r="C165" s="13" t="s">
        <v>564</v>
      </c>
      <c r="D165" s="7"/>
      <c r="E165" s="14">
        <v>1</v>
      </c>
      <c r="F165" s="8">
        <v>14078</v>
      </c>
      <c r="G165" s="8"/>
      <c r="H165" s="8"/>
      <c r="I165" s="7"/>
      <c r="J165" s="7"/>
      <c r="K165" s="7"/>
      <c r="L165" s="3"/>
      <c r="M165" s="3"/>
      <c r="N165" s="3"/>
      <c r="O165" s="3"/>
    </row>
    <row r="166" spans="1:15" x14ac:dyDescent="0.25">
      <c r="A166" s="7">
        <v>165</v>
      </c>
      <c r="B166" s="8">
        <v>26411121</v>
      </c>
      <c r="C166" s="13" t="s">
        <v>567</v>
      </c>
      <c r="D166" s="7"/>
      <c r="E166" s="14">
        <v>1</v>
      </c>
      <c r="F166" s="8">
        <v>582</v>
      </c>
      <c r="G166" s="8"/>
      <c r="H166" s="8"/>
      <c r="I166" s="7"/>
      <c r="J166" s="7"/>
      <c r="K166" s="7"/>
      <c r="L166" s="3"/>
      <c r="M166" s="3"/>
      <c r="N166" s="3"/>
      <c r="O166" s="3"/>
    </row>
    <row r="167" spans="1:15" x14ac:dyDescent="0.25">
      <c r="A167" s="7">
        <v>166</v>
      </c>
      <c r="B167" s="8">
        <v>26412063</v>
      </c>
      <c r="C167" s="13" t="s">
        <v>568</v>
      </c>
      <c r="D167" s="7"/>
      <c r="E167" s="14">
        <v>1</v>
      </c>
      <c r="F167" s="8">
        <v>192</v>
      </c>
      <c r="G167" s="8"/>
      <c r="H167" s="8"/>
      <c r="I167" s="7"/>
      <c r="J167" s="7"/>
      <c r="K167" s="7"/>
      <c r="L167" s="3"/>
      <c r="M167" s="3"/>
      <c r="N167" s="3"/>
      <c r="O167" s="3"/>
    </row>
    <row r="168" spans="1:15" x14ac:dyDescent="0.25">
      <c r="A168" s="7">
        <v>167</v>
      </c>
      <c r="B168" s="8" t="s">
        <v>570</v>
      </c>
      <c r="C168" s="13" t="s">
        <v>571</v>
      </c>
      <c r="D168" s="7"/>
      <c r="E168" s="14">
        <v>1</v>
      </c>
      <c r="F168" s="8">
        <v>8200</v>
      </c>
      <c r="G168" s="8"/>
      <c r="H168" s="8"/>
      <c r="I168" s="7"/>
      <c r="J168" s="7"/>
      <c r="K168" s="7"/>
      <c r="L168" s="3"/>
      <c r="M168" s="3"/>
      <c r="N168" s="3"/>
      <c r="O168" s="3"/>
    </row>
    <row r="169" spans="1:15" x14ac:dyDescent="0.25">
      <c r="A169" s="7">
        <v>168</v>
      </c>
      <c r="B169" s="8">
        <v>26244686</v>
      </c>
      <c r="C169" s="13" t="s">
        <v>572</v>
      </c>
      <c r="D169" s="7"/>
      <c r="E169" s="14">
        <v>1</v>
      </c>
      <c r="F169" s="8">
        <v>1118</v>
      </c>
      <c r="G169" s="8"/>
      <c r="H169" s="8"/>
      <c r="I169" s="7"/>
      <c r="J169" s="7"/>
      <c r="K169" s="7"/>
      <c r="L169" s="3"/>
      <c r="M169" s="3"/>
      <c r="N169" s="3"/>
      <c r="O169" s="3"/>
    </row>
    <row r="170" spans="1:15" x14ac:dyDescent="0.25">
      <c r="A170" s="7">
        <v>169</v>
      </c>
      <c r="B170" s="8">
        <v>26218426</v>
      </c>
      <c r="C170" s="13" t="s">
        <v>344</v>
      </c>
      <c r="D170" s="7"/>
      <c r="E170" s="14">
        <v>1</v>
      </c>
      <c r="F170" s="8">
        <v>2008</v>
      </c>
      <c r="G170" s="8"/>
      <c r="H170" s="8"/>
      <c r="I170" s="7"/>
      <c r="J170" s="7"/>
      <c r="K170" s="7"/>
      <c r="L170" s="3"/>
      <c r="M170" s="3"/>
      <c r="N170" s="3"/>
      <c r="O170" s="3"/>
    </row>
    <row r="171" spans="1:15" x14ac:dyDescent="0.25">
      <c r="A171" s="7">
        <v>170</v>
      </c>
      <c r="B171" s="8">
        <v>26021253</v>
      </c>
      <c r="C171" s="13" t="s">
        <v>3128</v>
      </c>
      <c r="D171" s="7"/>
      <c r="E171" s="14">
        <v>1</v>
      </c>
      <c r="F171" s="8">
        <v>11973</v>
      </c>
      <c r="G171" s="8"/>
      <c r="H171" s="8"/>
      <c r="I171" s="7"/>
      <c r="J171" s="7"/>
      <c r="K171" s="7"/>
      <c r="L171" s="3"/>
      <c r="M171" s="3"/>
      <c r="N171" s="3"/>
      <c r="O171" s="3"/>
    </row>
    <row r="172" spans="1:15" x14ac:dyDescent="0.25">
      <c r="A172" s="7">
        <v>171</v>
      </c>
      <c r="B172" s="8">
        <v>26021427</v>
      </c>
      <c r="C172" s="13" t="s">
        <v>4247</v>
      </c>
      <c r="D172" s="7"/>
      <c r="E172" s="14">
        <v>1</v>
      </c>
      <c r="F172" s="8">
        <v>10230</v>
      </c>
      <c r="G172" s="8"/>
      <c r="H172" s="8"/>
      <c r="I172" s="7"/>
      <c r="J172" s="7"/>
      <c r="K172" s="7"/>
      <c r="L172" s="3"/>
      <c r="M172" s="3"/>
      <c r="N172" s="3"/>
      <c r="O172" s="3"/>
    </row>
    <row r="173" spans="1:15" x14ac:dyDescent="0.25">
      <c r="A173" s="7">
        <v>172</v>
      </c>
      <c r="B173" s="8">
        <v>26259193</v>
      </c>
      <c r="C173" s="13" t="s">
        <v>266</v>
      </c>
      <c r="D173" s="7"/>
      <c r="E173" s="14">
        <v>1</v>
      </c>
      <c r="F173" s="8">
        <v>2737</v>
      </c>
      <c r="G173" s="8"/>
      <c r="H173" s="8"/>
      <c r="I173" s="7"/>
      <c r="J173" s="7"/>
      <c r="K173" s="7"/>
      <c r="L173" s="3"/>
      <c r="M173" s="3"/>
      <c r="N173" s="3"/>
      <c r="O173" s="3"/>
    </row>
    <row r="174" spans="1:15" x14ac:dyDescent="0.25">
      <c r="A174" s="7">
        <v>173</v>
      </c>
      <c r="B174" s="8">
        <v>26710280</v>
      </c>
      <c r="C174" s="13" t="s">
        <v>467</v>
      </c>
      <c r="D174" s="7"/>
      <c r="E174" s="14">
        <v>1</v>
      </c>
      <c r="F174" s="8">
        <v>127</v>
      </c>
      <c r="G174" s="8"/>
      <c r="H174" s="8"/>
      <c r="I174" s="7"/>
      <c r="J174" s="7"/>
      <c r="K174" s="7"/>
      <c r="L174" s="3"/>
      <c r="M174" s="3"/>
      <c r="N174" s="3"/>
      <c r="O174" s="3"/>
    </row>
    <row r="175" spans="1:15" x14ac:dyDescent="0.25">
      <c r="A175" s="7">
        <v>174</v>
      </c>
      <c r="B175" s="8">
        <v>26254804</v>
      </c>
      <c r="C175" s="13" t="s">
        <v>261</v>
      </c>
      <c r="D175" s="7"/>
      <c r="E175" s="14">
        <v>1</v>
      </c>
      <c r="F175" s="8">
        <v>1170</v>
      </c>
      <c r="G175" s="8"/>
      <c r="H175" s="8"/>
      <c r="I175" s="7"/>
      <c r="J175" s="7"/>
      <c r="K175" s="7"/>
      <c r="L175" s="3"/>
      <c r="M175" s="3"/>
      <c r="N175" s="3"/>
      <c r="O175" s="3"/>
    </row>
    <row r="176" spans="1:15" x14ac:dyDescent="0.25">
      <c r="A176" s="7">
        <v>175</v>
      </c>
      <c r="B176" s="8">
        <v>26218546</v>
      </c>
      <c r="C176" s="13" t="s">
        <v>344</v>
      </c>
      <c r="D176" s="7"/>
      <c r="E176" s="14">
        <v>1</v>
      </c>
      <c r="F176" s="8">
        <v>1694</v>
      </c>
      <c r="G176" s="8"/>
      <c r="H176" s="8"/>
      <c r="I176" s="7"/>
      <c r="J176" s="7"/>
      <c r="K176" s="7"/>
      <c r="L176" s="3"/>
      <c r="M176" s="3"/>
      <c r="N176" s="3"/>
      <c r="O176" s="3"/>
    </row>
    <row r="177" spans="1:15" x14ac:dyDescent="0.25">
      <c r="A177" s="7">
        <v>176</v>
      </c>
      <c r="B177" s="8">
        <v>26256069</v>
      </c>
      <c r="C177" s="13" t="s">
        <v>764</v>
      </c>
      <c r="D177" s="7"/>
      <c r="E177" s="14">
        <v>1</v>
      </c>
      <c r="F177" s="8">
        <v>2308</v>
      </c>
      <c r="G177" s="8"/>
      <c r="H177" s="8"/>
      <c r="I177" s="7"/>
      <c r="J177" s="7"/>
      <c r="K177" s="7"/>
      <c r="L177" s="3"/>
      <c r="M177" s="3"/>
      <c r="N177" s="3"/>
      <c r="O177" s="3"/>
    </row>
    <row r="178" spans="1:15" x14ac:dyDescent="0.25">
      <c r="A178" s="7">
        <v>177</v>
      </c>
      <c r="B178" s="8">
        <v>26221187</v>
      </c>
      <c r="C178" s="13" t="s">
        <v>337</v>
      </c>
      <c r="D178" s="7"/>
      <c r="E178" s="14">
        <v>1</v>
      </c>
      <c r="F178" s="8">
        <v>765</v>
      </c>
      <c r="G178" s="8"/>
      <c r="H178" s="8"/>
      <c r="I178" s="7"/>
      <c r="J178" s="7"/>
      <c r="K178" s="7"/>
      <c r="L178" s="3"/>
      <c r="M178" s="3"/>
      <c r="N178" s="3"/>
      <c r="O178" s="3"/>
    </row>
    <row r="179" spans="1:15" x14ac:dyDescent="0.25">
      <c r="A179" s="7">
        <v>178</v>
      </c>
      <c r="B179" s="8">
        <v>26244067</v>
      </c>
      <c r="C179" s="13" t="s">
        <v>3547</v>
      </c>
      <c r="D179" s="7"/>
      <c r="E179" s="14">
        <v>1</v>
      </c>
      <c r="F179" s="8">
        <v>2151</v>
      </c>
      <c r="G179" s="8"/>
      <c r="H179" s="8"/>
      <c r="I179" s="7"/>
      <c r="J179" s="7"/>
      <c r="K179" s="7"/>
      <c r="L179" s="3"/>
      <c r="M179" s="3"/>
      <c r="N179" s="3"/>
      <c r="O179" s="3"/>
    </row>
    <row r="180" spans="1:15" x14ac:dyDescent="0.25">
      <c r="A180" s="7">
        <v>179</v>
      </c>
      <c r="B180" s="8">
        <v>26218439</v>
      </c>
      <c r="C180" s="13" t="s">
        <v>344</v>
      </c>
      <c r="D180" s="7"/>
      <c r="E180" s="14">
        <v>1</v>
      </c>
      <c r="F180" s="8">
        <v>2290</v>
      </c>
      <c r="G180" s="8"/>
      <c r="H180" s="8"/>
      <c r="I180" s="7"/>
      <c r="J180" s="7"/>
      <c r="K180" s="7"/>
      <c r="L180" s="3"/>
      <c r="M180" s="3"/>
      <c r="N180" s="3"/>
      <c r="O180" s="3"/>
    </row>
    <row r="181" spans="1:15" x14ac:dyDescent="0.25">
      <c r="A181" s="7">
        <v>180</v>
      </c>
      <c r="B181" s="8">
        <v>26021531</v>
      </c>
      <c r="C181" s="13" t="s">
        <v>3267</v>
      </c>
      <c r="D181" s="7"/>
      <c r="E181" s="14">
        <v>1</v>
      </c>
      <c r="F181" s="8">
        <v>17963</v>
      </c>
      <c r="G181" s="8"/>
      <c r="H181" s="8"/>
      <c r="I181" s="7"/>
      <c r="J181" s="7"/>
      <c r="K181" s="7"/>
      <c r="L181" s="3"/>
      <c r="M181" s="3"/>
      <c r="N181" s="3"/>
      <c r="O181" s="3"/>
    </row>
    <row r="182" spans="1:15" x14ac:dyDescent="0.25">
      <c r="A182" s="7">
        <v>181</v>
      </c>
      <c r="B182" s="8">
        <v>26021592</v>
      </c>
      <c r="C182" s="13" t="s">
        <v>636</v>
      </c>
      <c r="D182" s="7"/>
      <c r="E182" s="14">
        <v>1</v>
      </c>
      <c r="F182" s="8">
        <v>16678</v>
      </c>
      <c r="G182" s="8"/>
      <c r="H182" s="8"/>
      <c r="I182" s="7"/>
      <c r="J182" s="7"/>
      <c r="K182" s="7"/>
      <c r="L182" s="3"/>
      <c r="M182" s="3"/>
      <c r="N182" s="3"/>
      <c r="O182" s="3"/>
    </row>
    <row r="183" spans="1:15" x14ac:dyDescent="0.25">
      <c r="A183" s="7">
        <v>182</v>
      </c>
      <c r="B183" s="8">
        <v>26256753</v>
      </c>
      <c r="C183" s="13" t="s">
        <v>423</v>
      </c>
      <c r="D183" s="7"/>
      <c r="E183" s="14">
        <v>1</v>
      </c>
      <c r="F183" s="8">
        <v>217</v>
      </c>
      <c r="G183" s="8"/>
      <c r="H183" s="8"/>
      <c r="I183" s="7"/>
      <c r="J183" s="7"/>
      <c r="K183" s="7"/>
      <c r="L183" s="3"/>
      <c r="M183" s="3"/>
      <c r="N183" s="3"/>
      <c r="O183" s="3"/>
    </row>
    <row r="184" spans="1:15" x14ac:dyDescent="0.25">
      <c r="A184" s="7">
        <v>183</v>
      </c>
      <c r="B184" s="8">
        <v>26240861</v>
      </c>
      <c r="C184" s="13" t="s">
        <v>2339</v>
      </c>
      <c r="D184" s="7"/>
      <c r="E184" s="14">
        <v>1</v>
      </c>
      <c r="F184" s="8">
        <v>70</v>
      </c>
      <c r="G184" s="8"/>
      <c r="H184" s="8"/>
      <c r="I184" s="7"/>
      <c r="J184" s="7"/>
      <c r="K184" s="7"/>
      <c r="L184" s="3"/>
      <c r="M184" s="3"/>
      <c r="N184" s="3"/>
      <c r="O184" s="3"/>
    </row>
    <row r="185" spans="1:15" x14ac:dyDescent="0.25">
      <c r="A185" s="7">
        <v>184</v>
      </c>
      <c r="B185" s="8" t="s">
        <v>2505</v>
      </c>
      <c r="C185" s="13" t="s">
        <v>234</v>
      </c>
      <c r="D185" s="7"/>
      <c r="E185" s="14">
        <v>1</v>
      </c>
      <c r="F185" s="8">
        <v>9765</v>
      </c>
      <c r="G185" s="8"/>
      <c r="H185" s="8"/>
      <c r="I185" s="7"/>
      <c r="J185" s="7"/>
      <c r="K185" s="7"/>
      <c r="L185" s="3"/>
      <c r="M185" s="3"/>
      <c r="N185" s="3"/>
      <c r="O185" s="3"/>
    </row>
    <row r="186" spans="1:15" x14ac:dyDescent="0.25">
      <c r="A186" s="7">
        <v>185</v>
      </c>
      <c r="B186" s="8">
        <v>26248410</v>
      </c>
      <c r="C186" s="13" t="s">
        <v>265</v>
      </c>
      <c r="D186" s="7"/>
      <c r="E186" s="14">
        <v>1</v>
      </c>
      <c r="F186" s="8">
        <v>1825</v>
      </c>
      <c r="G186" s="8"/>
      <c r="H186" s="8"/>
      <c r="I186" s="7"/>
      <c r="J186" s="7"/>
      <c r="K186" s="7"/>
      <c r="L186" s="3"/>
      <c r="M186" s="3"/>
      <c r="N186" s="3"/>
      <c r="O186" s="3"/>
    </row>
    <row r="187" spans="1:15" x14ac:dyDescent="0.25">
      <c r="A187" s="7">
        <v>186</v>
      </c>
      <c r="B187" s="8">
        <v>26718973</v>
      </c>
      <c r="C187" s="13" t="s">
        <v>341</v>
      </c>
      <c r="D187" s="7"/>
      <c r="E187" s="14">
        <v>1</v>
      </c>
      <c r="F187" s="8">
        <v>221</v>
      </c>
      <c r="G187" s="8"/>
      <c r="H187" s="8"/>
      <c r="I187" s="7"/>
      <c r="J187" s="7"/>
      <c r="K187" s="7"/>
      <c r="L187" s="3"/>
      <c r="M187" s="3"/>
      <c r="N187" s="3"/>
      <c r="O187" s="3"/>
    </row>
    <row r="188" spans="1:15" x14ac:dyDescent="0.25">
      <c r="A188" s="7">
        <v>187</v>
      </c>
      <c r="B188" s="8">
        <v>26021657</v>
      </c>
      <c r="C188" s="13" t="s">
        <v>2747</v>
      </c>
      <c r="D188" s="7"/>
      <c r="E188" s="14">
        <v>1</v>
      </c>
      <c r="F188" s="8">
        <v>16301</v>
      </c>
      <c r="G188" s="8"/>
      <c r="H188" s="8"/>
      <c r="I188" s="7"/>
      <c r="J188" s="7"/>
      <c r="K188" s="7"/>
      <c r="L188" s="3"/>
      <c r="M188" s="3"/>
      <c r="N188" s="3"/>
      <c r="O188" s="3"/>
    </row>
    <row r="189" spans="1:15" x14ac:dyDescent="0.25">
      <c r="A189" s="7">
        <v>188</v>
      </c>
      <c r="B189" s="8">
        <v>26215633</v>
      </c>
      <c r="C189" s="13" t="s">
        <v>89</v>
      </c>
      <c r="D189" s="7"/>
      <c r="E189" s="14">
        <v>1</v>
      </c>
      <c r="F189" s="8">
        <v>1225</v>
      </c>
      <c r="G189" s="8"/>
      <c r="H189" s="8"/>
      <c r="I189" s="7"/>
      <c r="J189" s="7"/>
      <c r="K189" s="7"/>
      <c r="L189" s="3"/>
      <c r="M189" s="3"/>
      <c r="N189" s="3"/>
      <c r="O189" s="3"/>
    </row>
    <row r="190" spans="1:15" x14ac:dyDescent="0.25">
      <c r="A190" s="7">
        <v>189</v>
      </c>
      <c r="B190" s="8">
        <v>26249593</v>
      </c>
      <c r="C190" s="13" t="s">
        <v>674</v>
      </c>
      <c r="D190" s="7"/>
      <c r="E190" s="14">
        <v>1</v>
      </c>
      <c r="F190" s="8">
        <v>534</v>
      </c>
      <c r="G190" s="8"/>
      <c r="H190" s="8"/>
      <c r="I190" s="7"/>
      <c r="J190" s="7"/>
      <c r="K190" s="7"/>
      <c r="L190" s="3"/>
      <c r="M190" s="3"/>
      <c r="N190" s="3"/>
      <c r="O190" s="3"/>
    </row>
    <row r="191" spans="1:15" x14ac:dyDescent="0.25">
      <c r="A191" s="7">
        <v>190</v>
      </c>
      <c r="B191" s="8">
        <v>26021805</v>
      </c>
      <c r="C191" s="13" t="s">
        <v>636</v>
      </c>
      <c r="D191" s="7"/>
      <c r="E191" s="14">
        <v>1</v>
      </c>
      <c r="F191" s="8">
        <v>8830</v>
      </c>
      <c r="G191" s="8"/>
      <c r="H191" s="8"/>
      <c r="I191" s="7"/>
      <c r="J191" s="7"/>
      <c r="K191" s="7"/>
      <c r="L191" s="3"/>
      <c r="M191" s="3"/>
      <c r="N191" s="3"/>
      <c r="O191" s="3"/>
    </row>
    <row r="192" spans="1:15" x14ac:dyDescent="0.25">
      <c r="A192" s="7">
        <v>191</v>
      </c>
      <c r="B192" s="8">
        <v>26243627</v>
      </c>
      <c r="C192" s="13" t="s">
        <v>265</v>
      </c>
      <c r="D192" s="7"/>
      <c r="E192" s="14">
        <v>1</v>
      </c>
      <c r="F192" s="8">
        <v>1688</v>
      </c>
      <c r="G192" s="8"/>
      <c r="H192" s="8"/>
      <c r="I192" s="7"/>
      <c r="J192" s="7"/>
      <c r="K192" s="7"/>
      <c r="L192" s="3"/>
      <c r="M192" s="3"/>
      <c r="N192" s="3"/>
      <c r="O192" s="3"/>
    </row>
    <row r="193" spans="1:15" x14ac:dyDescent="0.25">
      <c r="A193" s="7">
        <v>192</v>
      </c>
      <c r="B193" s="8">
        <v>26240501</v>
      </c>
      <c r="C193" s="13" t="s">
        <v>262</v>
      </c>
      <c r="D193" s="7"/>
      <c r="E193" s="14">
        <v>1</v>
      </c>
      <c r="F193" s="8">
        <v>3511</v>
      </c>
      <c r="G193" s="8"/>
      <c r="H193" s="8"/>
      <c r="I193" s="7"/>
      <c r="J193" s="7"/>
      <c r="K193" s="7"/>
      <c r="L193" s="3"/>
      <c r="M193" s="3"/>
      <c r="N193" s="3"/>
      <c r="O193" s="3"/>
    </row>
    <row r="194" spans="1:15" x14ac:dyDescent="0.25">
      <c r="A194" s="7">
        <v>193</v>
      </c>
      <c r="B194" s="8">
        <v>26224091</v>
      </c>
      <c r="C194" s="13" t="s">
        <v>337</v>
      </c>
      <c r="D194" s="7"/>
      <c r="E194" s="14">
        <v>1</v>
      </c>
      <c r="F194" s="8">
        <v>1301</v>
      </c>
      <c r="G194" s="8"/>
      <c r="H194" s="8"/>
      <c r="I194" s="7"/>
      <c r="J194" s="7"/>
      <c r="K194" s="7"/>
      <c r="L194" s="3"/>
      <c r="M194" s="3"/>
      <c r="N194" s="3"/>
      <c r="O194" s="3"/>
    </row>
    <row r="195" spans="1:15" x14ac:dyDescent="0.25">
      <c r="A195" s="7">
        <v>194</v>
      </c>
      <c r="B195" s="8">
        <v>26024348</v>
      </c>
      <c r="C195" s="13" t="s">
        <v>234</v>
      </c>
      <c r="D195" s="7"/>
      <c r="E195" s="7">
        <v>1</v>
      </c>
      <c r="F195" s="8">
        <v>21534</v>
      </c>
      <c r="G195" s="8"/>
      <c r="H195" s="8"/>
      <c r="I195" s="7"/>
      <c r="J195" s="7"/>
      <c r="K195" s="7"/>
      <c r="L195" s="3"/>
      <c r="M195" s="3"/>
      <c r="N195" s="3"/>
      <c r="O195" s="3"/>
    </row>
    <row r="196" spans="1:15" x14ac:dyDescent="0.25">
      <c r="A196" s="7">
        <v>195</v>
      </c>
      <c r="B196" s="8">
        <v>26222845</v>
      </c>
      <c r="C196" s="7" t="s">
        <v>344</v>
      </c>
      <c r="D196" s="7"/>
      <c r="E196" s="7">
        <v>1</v>
      </c>
      <c r="F196" s="8">
        <v>1251</v>
      </c>
      <c r="G196" s="8"/>
      <c r="H196" s="8"/>
      <c r="I196" s="7"/>
      <c r="J196" s="7"/>
      <c r="K196" s="7"/>
      <c r="L196" s="3"/>
      <c r="M196" s="3"/>
      <c r="N196" s="3"/>
      <c r="O196" s="3"/>
    </row>
    <row r="197" spans="1:15" x14ac:dyDescent="0.25">
      <c r="A197" s="7">
        <v>196</v>
      </c>
      <c r="B197" s="8">
        <v>26262361</v>
      </c>
      <c r="C197" s="14" t="s">
        <v>265</v>
      </c>
      <c r="D197" s="7"/>
      <c r="E197" s="7">
        <v>1</v>
      </c>
      <c r="F197" s="8">
        <v>1299</v>
      </c>
      <c r="G197" s="8"/>
      <c r="H197" s="8"/>
      <c r="I197" s="7"/>
      <c r="J197" s="7"/>
      <c r="K197" s="7"/>
      <c r="L197" s="3"/>
      <c r="M197" s="3"/>
      <c r="N197" s="3"/>
      <c r="O197" s="3"/>
    </row>
    <row r="198" spans="1:15" x14ac:dyDescent="0.25">
      <c r="A198" s="7">
        <v>197</v>
      </c>
      <c r="B198" s="8">
        <v>26265350</v>
      </c>
      <c r="C198" s="14" t="s">
        <v>659</v>
      </c>
      <c r="D198" s="7"/>
      <c r="E198" s="7">
        <v>1</v>
      </c>
      <c r="F198" s="8">
        <v>523</v>
      </c>
      <c r="G198" s="8"/>
      <c r="H198" s="8"/>
      <c r="I198" s="7"/>
      <c r="J198" s="7"/>
      <c r="K198" s="7"/>
      <c r="L198" s="3"/>
      <c r="M198" s="3"/>
      <c r="N198" s="3"/>
      <c r="O198" s="3"/>
    </row>
    <row r="199" spans="1:15" x14ac:dyDescent="0.25">
      <c r="A199" s="7">
        <v>198</v>
      </c>
      <c r="B199" s="13">
        <v>26220636</v>
      </c>
      <c r="C199" s="7" t="s">
        <v>3772</v>
      </c>
      <c r="D199" s="7"/>
      <c r="E199" s="7">
        <v>1</v>
      </c>
      <c r="F199" s="8">
        <v>2965</v>
      </c>
      <c r="G199" s="8"/>
      <c r="H199" s="8"/>
      <c r="I199" s="7"/>
      <c r="J199" s="7"/>
      <c r="K199" s="7"/>
      <c r="L199" s="3"/>
      <c r="M199" s="3"/>
      <c r="N199" s="3"/>
      <c r="O199" s="3"/>
    </row>
    <row r="200" spans="1:15" x14ac:dyDescent="0.25">
      <c r="A200" s="7">
        <v>199</v>
      </c>
      <c r="B200" s="8">
        <v>26261526</v>
      </c>
      <c r="C200" s="29" t="s">
        <v>3834</v>
      </c>
      <c r="D200" s="7"/>
      <c r="E200" s="7">
        <v>1</v>
      </c>
      <c r="F200" s="8">
        <v>1392</v>
      </c>
      <c r="G200" s="8"/>
      <c r="H200" s="8"/>
      <c r="I200" s="7"/>
      <c r="J200" s="7"/>
      <c r="K200" s="7"/>
      <c r="L200" s="3"/>
      <c r="M200" s="3"/>
      <c r="N200" s="3"/>
      <c r="O200" s="3"/>
    </row>
    <row r="201" spans="1:15" x14ac:dyDescent="0.25">
      <c r="A201" s="7">
        <v>200</v>
      </c>
      <c r="B201" s="8">
        <v>26247241</v>
      </c>
      <c r="C201" s="13" t="s">
        <v>423</v>
      </c>
      <c r="D201" s="7"/>
      <c r="E201" s="7">
        <v>1</v>
      </c>
      <c r="F201" s="8">
        <v>821</v>
      </c>
      <c r="G201" s="8"/>
      <c r="H201" s="8"/>
      <c r="I201" s="7"/>
      <c r="J201" s="7"/>
      <c r="K201" s="7"/>
      <c r="L201" s="3"/>
      <c r="M201" s="3"/>
      <c r="N201" s="3"/>
      <c r="O201" s="3"/>
    </row>
    <row r="202" spans="1:15" x14ac:dyDescent="0.25">
      <c r="A202" s="7">
        <v>201</v>
      </c>
      <c r="B202" s="8">
        <v>26246655</v>
      </c>
      <c r="C202" s="13" t="s">
        <v>4000</v>
      </c>
      <c r="D202" s="7"/>
      <c r="E202" s="7">
        <v>1</v>
      </c>
      <c r="F202" s="8">
        <v>2454</v>
      </c>
      <c r="G202" s="8"/>
      <c r="H202" s="8"/>
      <c r="I202" s="7"/>
      <c r="J202" s="7"/>
      <c r="K202" s="7"/>
      <c r="L202" s="3"/>
      <c r="M202" s="3"/>
      <c r="N202" s="3"/>
      <c r="O202" s="3"/>
    </row>
    <row r="203" spans="1:15" x14ac:dyDescent="0.25">
      <c r="A203" s="7">
        <v>202</v>
      </c>
      <c r="B203" s="8">
        <v>26021547</v>
      </c>
      <c r="C203" s="13" t="s">
        <v>636</v>
      </c>
      <c r="D203" s="7"/>
      <c r="E203" s="7">
        <v>1</v>
      </c>
      <c r="F203" s="8">
        <v>9241</v>
      </c>
      <c r="G203" s="8"/>
      <c r="H203" s="8"/>
      <c r="I203" s="7"/>
      <c r="J203" s="7"/>
      <c r="K203" s="7"/>
      <c r="L203" s="3"/>
      <c r="M203" s="3"/>
      <c r="N203" s="3"/>
      <c r="O203" s="3"/>
    </row>
    <row r="204" spans="1:15" x14ac:dyDescent="0.25">
      <c r="A204" s="7">
        <v>203</v>
      </c>
      <c r="B204" s="8">
        <v>26216430</v>
      </c>
      <c r="C204" s="13" t="s">
        <v>400</v>
      </c>
      <c r="D204" s="7"/>
      <c r="E204" s="7">
        <v>1</v>
      </c>
      <c r="F204" s="8">
        <v>1950</v>
      </c>
      <c r="G204" s="8"/>
      <c r="H204" s="8"/>
      <c r="I204" s="7"/>
      <c r="J204" s="7"/>
      <c r="K204" s="7"/>
      <c r="L204" s="3"/>
      <c r="M204" s="3"/>
      <c r="N204" s="3"/>
      <c r="O204" s="3"/>
    </row>
    <row r="205" spans="1:15" x14ac:dyDescent="0.25">
      <c r="A205" s="7">
        <v>204</v>
      </c>
      <c r="B205" s="8">
        <v>26244293</v>
      </c>
      <c r="C205" s="13" t="s">
        <v>659</v>
      </c>
      <c r="D205" s="7"/>
      <c r="E205" s="7">
        <v>1</v>
      </c>
      <c r="F205" s="8"/>
      <c r="G205" s="8"/>
      <c r="H205" s="8"/>
      <c r="I205" s="7"/>
      <c r="J205" s="7"/>
      <c r="K205" s="7"/>
      <c r="L205" s="3"/>
      <c r="M205" s="3"/>
      <c r="N205" s="3"/>
      <c r="O205" s="3"/>
    </row>
    <row r="206" spans="1:15" x14ac:dyDescent="0.25">
      <c r="A206" s="7">
        <v>205</v>
      </c>
      <c r="B206" s="8">
        <v>26216425</v>
      </c>
      <c r="C206" s="13" t="s">
        <v>452</v>
      </c>
      <c r="D206" s="7"/>
      <c r="E206" s="7">
        <v>1</v>
      </c>
      <c r="F206" s="8"/>
      <c r="G206" s="8"/>
      <c r="H206" s="8"/>
      <c r="I206" s="7"/>
      <c r="J206" s="7"/>
      <c r="K206" s="7"/>
      <c r="L206" s="3"/>
      <c r="M206" s="3"/>
      <c r="N206" s="3"/>
      <c r="O206" s="3"/>
    </row>
    <row r="207" spans="1:15" x14ac:dyDescent="0.25">
      <c r="A207" s="7">
        <v>206</v>
      </c>
      <c r="B207" s="8" t="s">
        <v>4535</v>
      </c>
      <c r="C207" s="13" t="s">
        <v>234</v>
      </c>
      <c r="D207" s="7"/>
      <c r="E207" s="7">
        <v>1</v>
      </c>
      <c r="F207" s="8">
        <v>7685</v>
      </c>
      <c r="G207" s="8"/>
      <c r="H207" s="8"/>
      <c r="I207" s="7"/>
      <c r="J207" s="7"/>
      <c r="K207" s="7"/>
      <c r="L207" s="3"/>
      <c r="M207" s="3"/>
      <c r="N207" s="3"/>
      <c r="O207" s="3"/>
    </row>
    <row r="208" spans="1:15" x14ac:dyDescent="0.25">
      <c r="A208" s="7">
        <v>207</v>
      </c>
      <c r="B208" s="8">
        <v>26260137</v>
      </c>
      <c r="C208" s="13" t="s">
        <v>348</v>
      </c>
      <c r="D208" s="7"/>
      <c r="E208" s="7">
        <v>1</v>
      </c>
      <c r="F208" s="8"/>
      <c r="G208" s="8"/>
      <c r="H208" s="8"/>
      <c r="I208" s="7"/>
      <c r="J208" s="7"/>
      <c r="K208" s="7"/>
      <c r="L208" s="3"/>
      <c r="M208" s="3"/>
      <c r="N208" s="3"/>
      <c r="O208" s="3"/>
    </row>
    <row r="209" spans="1:15" x14ac:dyDescent="0.25">
      <c r="A209" s="7">
        <v>208</v>
      </c>
      <c r="B209" s="8">
        <v>26223625</v>
      </c>
      <c r="C209" s="13" t="s">
        <v>344</v>
      </c>
      <c r="D209" s="7"/>
      <c r="E209" s="7">
        <v>1</v>
      </c>
      <c r="F209" s="8">
        <v>2584</v>
      </c>
      <c r="G209" s="8"/>
      <c r="H209" s="8"/>
      <c r="I209" s="7"/>
      <c r="J209" s="7"/>
      <c r="K209" s="7"/>
      <c r="L209" s="3"/>
      <c r="M209" s="3"/>
      <c r="N209" s="3"/>
      <c r="O209" s="3"/>
    </row>
    <row r="210" spans="1:15" x14ac:dyDescent="0.25">
      <c r="A210" s="7">
        <v>209</v>
      </c>
      <c r="B210" s="8">
        <v>26215876</v>
      </c>
      <c r="C210" s="13" t="s">
        <v>400</v>
      </c>
      <c r="D210" s="7"/>
      <c r="E210" s="7">
        <v>1</v>
      </c>
      <c r="F210" s="8">
        <v>2069</v>
      </c>
      <c r="G210" s="8"/>
      <c r="H210" s="8"/>
      <c r="I210" s="7"/>
      <c r="J210" s="7"/>
      <c r="K210" s="7"/>
      <c r="L210" s="3"/>
      <c r="M210" s="3"/>
      <c r="N210" s="3"/>
      <c r="O210" s="3"/>
    </row>
    <row r="211" spans="1:15" x14ac:dyDescent="0.25">
      <c r="A211" s="7">
        <v>210</v>
      </c>
      <c r="B211" s="8">
        <v>26249620</v>
      </c>
      <c r="C211" s="13" t="s">
        <v>423</v>
      </c>
      <c r="D211" s="7"/>
      <c r="E211" s="7">
        <v>1</v>
      </c>
      <c r="F211" s="8"/>
      <c r="G211" s="8"/>
      <c r="H211" s="8"/>
      <c r="I211" s="7"/>
      <c r="J211" s="7"/>
      <c r="K211" s="7"/>
      <c r="L211" s="3"/>
      <c r="M211" s="3"/>
      <c r="N211" s="3"/>
      <c r="O211" s="3"/>
    </row>
    <row r="212" spans="1:15" x14ac:dyDescent="0.25">
      <c r="A212" s="7">
        <v>211</v>
      </c>
      <c r="B212" s="8">
        <v>26024847</v>
      </c>
      <c r="C212" s="13" t="s">
        <v>234</v>
      </c>
      <c r="D212" s="7"/>
      <c r="E212" s="7">
        <v>1</v>
      </c>
      <c r="F212" s="8"/>
      <c r="G212" s="8"/>
      <c r="H212" s="8"/>
      <c r="I212" s="7"/>
      <c r="J212" s="7"/>
      <c r="K212" s="7"/>
      <c r="L212" s="3"/>
      <c r="M212" s="3"/>
      <c r="N212" s="3"/>
      <c r="O212" s="3"/>
    </row>
    <row r="213" spans="1:15" x14ac:dyDescent="0.25">
      <c r="A213" s="7">
        <v>212</v>
      </c>
      <c r="B213" s="8">
        <v>26265354</v>
      </c>
      <c r="C213" s="13" t="s">
        <v>4582</v>
      </c>
      <c r="D213" s="7"/>
      <c r="E213" s="7">
        <v>1</v>
      </c>
      <c r="F213" s="8"/>
      <c r="G213" s="8"/>
      <c r="H213" s="8"/>
      <c r="I213" s="7"/>
      <c r="J213" s="7"/>
      <c r="K213" s="7"/>
      <c r="L213" s="3"/>
      <c r="M213" s="3"/>
      <c r="N213" s="3"/>
      <c r="O213" s="3"/>
    </row>
    <row r="214" spans="1:15" x14ac:dyDescent="0.25">
      <c r="A214" s="7">
        <v>213</v>
      </c>
      <c r="B214" s="8" t="s">
        <v>4634</v>
      </c>
      <c r="C214" s="13" t="s">
        <v>4635</v>
      </c>
      <c r="D214" s="7"/>
      <c r="E214" s="7">
        <v>1</v>
      </c>
      <c r="F214" s="8"/>
      <c r="G214" s="8"/>
      <c r="H214" s="8"/>
      <c r="I214" s="7"/>
      <c r="J214" s="7"/>
      <c r="K214" s="7"/>
      <c r="L214" s="3"/>
      <c r="M214" s="3"/>
      <c r="N214" s="3"/>
      <c r="O214" s="3"/>
    </row>
    <row r="215" spans="1:15" x14ac:dyDescent="0.25">
      <c r="A215" s="7">
        <v>214</v>
      </c>
      <c r="B215" s="8">
        <v>26265460</v>
      </c>
      <c r="C215" s="13" t="s">
        <v>659</v>
      </c>
      <c r="D215" s="7"/>
      <c r="E215" s="7">
        <v>1</v>
      </c>
      <c r="F215" s="8"/>
      <c r="G215" s="8"/>
      <c r="H215" s="8"/>
      <c r="I215" s="7"/>
      <c r="J215" s="7"/>
      <c r="K215" s="7"/>
      <c r="L215" s="3"/>
      <c r="M215" s="3"/>
      <c r="N215" s="3"/>
      <c r="O215" s="3"/>
    </row>
    <row r="216" spans="1:15" x14ac:dyDescent="0.25">
      <c r="A216" s="7">
        <v>215</v>
      </c>
      <c r="B216" s="8">
        <v>26222829</v>
      </c>
      <c r="C216" s="13" t="s">
        <v>452</v>
      </c>
      <c r="D216" s="7"/>
      <c r="E216" s="7">
        <v>1</v>
      </c>
      <c r="F216" s="8"/>
      <c r="G216" s="8"/>
      <c r="H216" s="8"/>
      <c r="I216" s="7"/>
      <c r="J216" s="7"/>
      <c r="K216" s="7"/>
      <c r="L216" s="3"/>
      <c r="M216" s="3"/>
      <c r="N216" s="3"/>
      <c r="O216" s="3"/>
    </row>
    <row r="217" spans="1:15" x14ac:dyDescent="0.25">
      <c r="A217" s="7">
        <v>216</v>
      </c>
      <c r="B217" s="8">
        <v>26223616</v>
      </c>
      <c r="C217" s="13" t="s">
        <v>4457</v>
      </c>
      <c r="D217" s="7"/>
      <c r="E217" s="7">
        <v>1</v>
      </c>
      <c r="F217" s="8"/>
      <c r="G217" s="8"/>
      <c r="H217" s="8"/>
      <c r="I217" s="7"/>
      <c r="J217" s="7"/>
      <c r="K217" s="7"/>
      <c r="L217" s="3"/>
      <c r="M217" s="3"/>
      <c r="N217" s="3"/>
      <c r="O217" s="3"/>
    </row>
    <row r="218" spans="1:15" x14ac:dyDescent="0.25">
      <c r="A218" s="7">
        <v>217</v>
      </c>
      <c r="B218" s="8">
        <v>26247636</v>
      </c>
      <c r="C218" s="8" t="s">
        <v>264</v>
      </c>
      <c r="D218" s="7"/>
      <c r="E218" s="7">
        <v>2</v>
      </c>
      <c r="F218" s="8">
        <v>2925</v>
      </c>
      <c r="G218" s="8"/>
      <c r="H218" s="8">
        <f>VLOOKUP(B218,'[1]HSN CODE  TAX RATE'!$A$1:$E$13821,5,0)</f>
        <v>28</v>
      </c>
      <c r="I218" s="7"/>
      <c r="J218" s="7"/>
      <c r="K218" s="8"/>
      <c r="L218" s="3"/>
      <c r="M218" s="3"/>
      <c r="N218" s="3"/>
      <c r="O218" s="3"/>
    </row>
    <row r="219" spans="1:15" x14ac:dyDescent="0.25">
      <c r="A219" s="7">
        <v>218</v>
      </c>
      <c r="B219" s="8" t="s">
        <v>11</v>
      </c>
      <c r="C219" s="36" t="s">
        <v>800</v>
      </c>
      <c r="D219" s="7"/>
      <c r="E219" s="7">
        <v>1</v>
      </c>
      <c r="F219" s="8">
        <v>5889</v>
      </c>
      <c r="G219" s="8"/>
      <c r="H219" s="8">
        <f>VLOOKUP(B219,'[1]HSN CODE  TAX RATE'!$A$1:$E$13821,5,0)</f>
        <v>28</v>
      </c>
      <c r="I219" s="7"/>
      <c r="J219" s="7"/>
      <c r="K219" s="8"/>
      <c r="L219" s="3"/>
      <c r="M219" s="3"/>
      <c r="N219" s="3"/>
      <c r="O219" s="3"/>
    </row>
    <row r="220" spans="1:15" x14ac:dyDescent="0.25">
      <c r="A220" s="7">
        <v>219</v>
      </c>
      <c r="B220" s="8">
        <v>26219386</v>
      </c>
      <c r="C220" s="13" t="s">
        <v>337</v>
      </c>
      <c r="D220" s="7"/>
      <c r="E220" s="14">
        <v>2</v>
      </c>
      <c r="F220" s="8" t="s">
        <v>4542</v>
      </c>
      <c r="G220" s="8"/>
      <c r="H220" s="8">
        <f>VLOOKUP(B220,'[1]HSN CODE  TAX RATE'!$A$1:$E$13821,5,0)</f>
        <v>28</v>
      </c>
      <c r="I220" s="13"/>
      <c r="J220" s="13"/>
      <c r="K220" s="7"/>
      <c r="L220" s="3"/>
      <c r="M220" s="3"/>
      <c r="N220" s="3"/>
      <c r="O220" s="3"/>
    </row>
    <row r="221" spans="1:15" x14ac:dyDescent="0.25">
      <c r="A221" s="7">
        <v>220</v>
      </c>
      <c r="B221" s="8">
        <v>26242812</v>
      </c>
      <c r="C221" s="13" t="s">
        <v>265</v>
      </c>
      <c r="D221" s="7"/>
      <c r="E221" s="14">
        <v>2</v>
      </c>
      <c r="F221" s="8">
        <v>5627</v>
      </c>
      <c r="G221" s="8"/>
      <c r="H221" s="8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 x14ac:dyDescent="0.25">
      <c r="A222" s="7">
        <v>221</v>
      </c>
      <c r="B222" s="8" t="s">
        <v>187</v>
      </c>
      <c r="C222" s="8" t="s">
        <v>805</v>
      </c>
      <c r="D222" s="7"/>
      <c r="E222" s="7">
        <v>2</v>
      </c>
      <c r="F222" s="8">
        <v>12960</v>
      </c>
      <c r="G222" s="8"/>
      <c r="H222" s="8">
        <f>VLOOKUP(B222,'[1]HSN CODE  TAX RATE'!$A$1:$E$13821,5,0)</f>
        <v>28</v>
      </c>
      <c r="I222" s="13"/>
      <c r="J222" s="13"/>
      <c r="K222" s="8"/>
      <c r="L222" s="3"/>
      <c r="M222" s="3"/>
      <c r="N222" s="3"/>
      <c r="O222" s="3"/>
    </row>
    <row r="223" spans="1:15" x14ac:dyDescent="0.25">
      <c r="A223" s="7">
        <v>222</v>
      </c>
      <c r="B223" s="8" t="s">
        <v>233</v>
      </c>
      <c r="C223" s="8" t="s">
        <v>3912</v>
      </c>
      <c r="D223" s="7"/>
      <c r="E223" s="7">
        <v>1</v>
      </c>
      <c r="F223" s="8">
        <v>8395</v>
      </c>
      <c r="G223" s="8"/>
      <c r="H223" s="8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 x14ac:dyDescent="0.25">
      <c r="A224" s="7">
        <v>223</v>
      </c>
      <c r="B224" s="8">
        <v>26925304</v>
      </c>
      <c r="C224" s="8" t="s">
        <v>807</v>
      </c>
      <c r="D224" s="7"/>
      <c r="E224" s="7">
        <v>2</v>
      </c>
      <c r="F224" s="8">
        <v>9620</v>
      </c>
      <c r="G224" s="8"/>
      <c r="H224" s="8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 x14ac:dyDescent="0.25">
      <c r="A225" s="7">
        <v>224</v>
      </c>
      <c r="B225" s="8">
        <v>26243504</v>
      </c>
      <c r="C225" s="8" t="s">
        <v>211</v>
      </c>
      <c r="D225" s="7"/>
      <c r="E225" s="7">
        <v>2</v>
      </c>
      <c r="F225" s="8">
        <v>754</v>
      </c>
      <c r="G225" s="8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 x14ac:dyDescent="0.25">
      <c r="A226" s="7">
        <v>225</v>
      </c>
      <c r="B226" s="8" t="s">
        <v>445</v>
      </c>
      <c r="C226" s="13" t="s">
        <v>1876</v>
      </c>
      <c r="D226" s="7"/>
      <c r="E226" s="14">
        <v>2</v>
      </c>
      <c r="F226" s="8">
        <v>8670</v>
      </c>
      <c r="G226" s="8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 x14ac:dyDescent="0.25">
      <c r="A227" s="7">
        <v>226</v>
      </c>
      <c r="B227" s="8" t="s">
        <v>512</v>
      </c>
      <c r="C227" s="13" t="s">
        <v>810</v>
      </c>
      <c r="D227" s="7"/>
      <c r="E227" s="14">
        <v>2</v>
      </c>
      <c r="F227" s="8">
        <v>7588</v>
      </c>
      <c r="G227" s="8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 x14ac:dyDescent="0.25">
      <c r="A228" s="7">
        <v>227</v>
      </c>
      <c r="B228" s="8">
        <v>26213535</v>
      </c>
      <c r="C228" s="8" t="s">
        <v>2736</v>
      </c>
      <c r="D228" s="7"/>
      <c r="E228" s="7">
        <v>2</v>
      </c>
      <c r="F228" s="8">
        <v>2339</v>
      </c>
      <c r="G228" s="8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 x14ac:dyDescent="0.25">
      <c r="A229" s="7">
        <v>228</v>
      </c>
      <c r="B229" s="8">
        <v>26213964</v>
      </c>
      <c r="C229" s="8" t="s">
        <v>2737</v>
      </c>
      <c r="D229" s="7"/>
      <c r="E229" s="7">
        <v>2</v>
      </c>
      <c r="F229" s="8">
        <v>1485</v>
      </c>
      <c r="G229" s="8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 x14ac:dyDescent="0.25">
      <c r="A230" s="7">
        <v>229</v>
      </c>
      <c r="B230" s="8">
        <v>26216032</v>
      </c>
      <c r="C230" s="8" t="s">
        <v>247</v>
      </c>
      <c r="D230" s="7"/>
      <c r="E230" s="7">
        <v>2</v>
      </c>
      <c r="F230" s="8" t="s">
        <v>3093</v>
      </c>
      <c r="G230" s="8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 x14ac:dyDescent="0.25">
      <c r="A231" s="7">
        <v>230</v>
      </c>
      <c r="B231" s="8">
        <v>26241556</v>
      </c>
      <c r="C231" s="8" t="s">
        <v>546</v>
      </c>
      <c r="D231" s="7"/>
      <c r="E231" s="7">
        <v>2</v>
      </c>
      <c r="F231" s="8">
        <v>2683</v>
      </c>
      <c r="G231" s="8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 x14ac:dyDescent="0.25">
      <c r="A232" s="7">
        <v>231</v>
      </c>
      <c r="B232" s="8">
        <v>26244192</v>
      </c>
      <c r="C232" s="29" t="s">
        <v>2016</v>
      </c>
      <c r="D232" s="7"/>
      <c r="E232" s="7">
        <v>2</v>
      </c>
      <c r="F232" s="8">
        <v>1038</v>
      </c>
      <c r="G232" s="8"/>
      <c r="H232" s="8">
        <f>VLOOKUP(B232,'[1]HSN CODE  TAX RATE'!$A$1:$E$13821,5,0)</f>
        <v>28</v>
      </c>
      <c r="I232" s="13"/>
      <c r="J232" s="13"/>
      <c r="K232" s="8"/>
      <c r="L232" s="3"/>
      <c r="M232" s="3"/>
      <c r="N232" s="3"/>
    </row>
    <row r="233" spans="1:15" x14ac:dyDescent="0.25">
      <c r="A233" s="7">
        <v>232</v>
      </c>
      <c r="B233" s="8">
        <v>26253134</v>
      </c>
      <c r="C233" s="8" t="s">
        <v>372</v>
      </c>
      <c r="D233" s="7"/>
      <c r="E233" s="7">
        <v>2</v>
      </c>
      <c r="F233" s="8">
        <v>593</v>
      </c>
      <c r="G233" s="8"/>
      <c r="H233" s="8">
        <f>VLOOKUP(B233,'[1]HSN CODE  TAX RATE'!$A$1:$E$13821,5,0)</f>
        <v>28</v>
      </c>
      <c r="I233" s="7"/>
      <c r="J233" s="7"/>
      <c r="K233" s="8"/>
      <c r="L233" s="3"/>
      <c r="M233" s="3"/>
      <c r="N233" s="3"/>
    </row>
    <row r="234" spans="1:15" x14ac:dyDescent="0.25">
      <c r="A234" s="7">
        <v>233</v>
      </c>
      <c r="B234" s="8">
        <v>26253140</v>
      </c>
      <c r="C234" s="8" t="s">
        <v>211</v>
      </c>
      <c r="D234" s="7"/>
      <c r="E234" s="7">
        <v>2</v>
      </c>
      <c r="F234" s="8">
        <v>381</v>
      </c>
      <c r="G234" s="8"/>
      <c r="H234" s="8">
        <f>VLOOKUP(B234,'[1]HSN CODE  TAX RATE'!$A$1:$E$13821,5,0)</f>
        <v>28</v>
      </c>
      <c r="I234" s="7"/>
      <c r="J234" s="7"/>
      <c r="K234" s="8">
        <v>4</v>
      </c>
      <c r="L234" s="3"/>
      <c r="M234" s="3"/>
      <c r="N234" s="3"/>
    </row>
    <row r="235" spans="1:15" x14ac:dyDescent="0.25">
      <c r="A235" s="7">
        <v>234</v>
      </c>
      <c r="B235" s="8">
        <v>26253312</v>
      </c>
      <c r="C235" s="8" t="s">
        <v>265</v>
      </c>
      <c r="D235" s="7"/>
      <c r="E235" s="7">
        <v>2</v>
      </c>
      <c r="F235" s="8">
        <v>5627</v>
      </c>
      <c r="G235" s="8"/>
      <c r="H235" s="8">
        <f>VLOOKUP(B235,'[1]HSN CODE  TAX RATE'!$A$1:$E$13821,5,0)</f>
        <v>28</v>
      </c>
      <c r="I235" s="7"/>
      <c r="J235" s="7"/>
      <c r="K235" s="8"/>
      <c r="L235" s="3"/>
      <c r="M235" s="3"/>
      <c r="N235" s="3"/>
    </row>
    <row r="236" spans="1:15" x14ac:dyDescent="0.25">
      <c r="A236" s="7">
        <v>235</v>
      </c>
      <c r="B236" s="8">
        <v>26253669</v>
      </c>
      <c r="C236" s="8" t="s">
        <v>267</v>
      </c>
      <c r="D236" s="7"/>
      <c r="E236" s="7">
        <v>2</v>
      </c>
      <c r="F236" s="8">
        <v>360</v>
      </c>
      <c r="G236" s="8"/>
      <c r="H236" s="8">
        <f>VLOOKUP(B236,'[1]HSN CODE  TAX RATE'!$A$1:$E$13821,5,0)</f>
        <v>18</v>
      </c>
      <c r="I236" s="7"/>
      <c r="J236" s="7"/>
      <c r="K236" s="8">
        <v>4</v>
      </c>
      <c r="L236" s="3"/>
      <c r="M236" s="3"/>
      <c r="N236" s="3"/>
    </row>
    <row r="237" spans="1:15" x14ac:dyDescent="0.25">
      <c r="A237" s="7">
        <v>236</v>
      </c>
      <c r="B237" s="8">
        <v>26253936</v>
      </c>
      <c r="C237" s="8" t="s">
        <v>261</v>
      </c>
      <c r="D237" s="7"/>
      <c r="E237" s="7">
        <v>2</v>
      </c>
      <c r="F237" s="8">
        <v>1205</v>
      </c>
      <c r="G237" s="8"/>
      <c r="H237" s="8">
        <f>VLOOKUP(B237,'[1]HSN CODE  TAX RATE'!$A$1:$E$13821,5,0)</f>
        <v>28</v>
      </c>
      <c r="I237" s="7"/>
      <c r="J237" s="7"/>
      <c r="K237" s="8"/>
      <c r="L237" s="3"/>
      <c r="M237" s="3"/>
      <c r="N237" s="3"/>
    </row>
    <row r="238" spans="1:15" s="3" customFormat="1" x14ac:dyDescent="0.25">
      <c r="A238" s="7">
        <v>237</v>
      </c>
      <c r="B238" s="8">
        <v>26258095</v>
      </c>
      <c r="C238" s="8" t="s">
        <v>2262</v>
      </c>
      <c r="D238" s="7"/>
      <c r="E238" s="7">
        <v>2</v>
      </c>
      <c r="F238" s="8">
        <v>2949</v>
      </c>
      <c r="G238" s="8"/>
      <c r="H238" s="8">
        <f>VLOOKUP(B238,'[1]HSN CODE  TAX RATE'!$A$1:$E$13821,5,0)</f>
        <v>28</v>
      </c>
      <c r="I238" s="7"/>
      <c r="J238" s="7"/>
      <c r="K238" s="8"/>
    </row>
    <row r="239" spans="1:15" x14ac:dyDescent="0.25">
      <c r="A239" s="7">
        <v>238</v>
      </c>
      <c r="B239" s="8" t="s">
        <v>10</v>
      </c>
      <c r="C239" s="8" t="s">
        <v>3723</v>
      </c>
      <c r="D239" s="7"/>
      <c r="E239" s="7">
        <v>2</v>
      </c>
      <c r="F239" s="8" t="s">
        <v>4544</v>
      </c>
      <c r="G239" s="8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 x14ac:dyDescent="0.25">
      <c r="A240" s="7">
        <v>239</v>
      </c>
      <c r="B240" s="8">
        <v>26024249</v>
      </c>
      <c r="C240" s="8" t="s">
        <v>272</v>
      </c>
      <c r="D240" s="7"/>
      <c r="E240" s="7">
        <v>2</v>
      </c>
      <c r="F240" s="8">
        <v>4080</v>
      </c>
      <c r="G240" s="8"/>
      <c r="H240" s="8">
        <f>VLOOKUP(B240,'[1]HSN CODE  TAX RATE'!$A$1:$E$13821,5,0)</f>
        <v>28</v>
      </c>
      <c r="I240" s="7"/>
      <c r="J240" s="7"/>
      <c r="K240" s="8"/>
      <c r="L240" s="3"/>
      <c r="M240" s="3"/>
      <c r="N240" s="3"/>
    </row>
    <row r="241" spans="1:14" x14ac:dyDescent="0.25">
      <c r="A241" s="7">
        <v>240</v>
      </c>
      <c r="B241" s="8">
        <v>26253397</v>
      </c>
      <c r="C241" s="8" t="s">
        <v>2015</v>
      </c>
      <c r="D241" s="7"/>
      <c r="E241" s="7">
        <v>2</v>
      </c>
      <c r="F241" s="8">
        <v>964</v>
      </c>
      <c r="G241" s="8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 x14ac:dyDescent="0.25">
      <c r="A242" s="7">
        <v>241</v>
      </c>
      <c r="B242" s="8">
        <v>26253685</v>
      </c>
      <c r="C242" s="29" t="s">
        <v>8</v>
      </c>
      <c r="D242" s="7"/>
      <c r="E242" s="7">
        <v>2</v>
      </c>
      <c r="F242" s="8">
        <v>833</v>
      </c>
      <c r="G242" s="8"/>
      <c r="H242" s="8">
        <f>VLOOKUP(B242,'[1]HSN CODE  TAX RATE'!$A$1:$E$13821,5,0)</f>
        <v>28</v>
      </c>
      <c r="I242" s="7"/>
      <c r="J242" s="7"/>
      <c r="K242" s="8"/>
      <c r="L242" s="3"/>
      <c r="M242" s="3"/>
      <c r="N242" s="3"/>
    </row>
    <row r="243" spans="1:14" x14ac:dyDescent="0.25">
      <c r="A243" s="7">
        <v>242</v>
      </c>
      <c r="B243" s="8">
        <v>26249889</v>
      </c>
      <c r="C243" s="8" t="s">
        <v>8</v>
      </c>
      <c r="D243" s="7"/>
      <c r="E243" s="7">
        <v>2</v>
      </c>
      <c r="F243" s="8">
        <v>1044</v>
      </c>
      <c r="G243" s="8"/>
      <c r="H243" s="8">
        <f>VLOOKUP(B243,'[1]HSN CODE  TAX RATE'!$A$1:$E$13821,5,0)</f>
        <v>28</v>
      </c>
      <c r="I243" s="7"/>
      <c r="J243" s="7"/>
      <c r="K243" s="8">
        <v>6</v>
      </c>
      <c r="L243" s="3"/>
      <c r="M243" s="3"/>
      <c r="N243" s="3"/>
    </row>
    <row r="244" spans="1:14" x14ac:dyDescent="0.25">
      <c r="A244" s="7">
        <v>243</v>
      </c>
      <c r="B244" s="8">
        <v>26246904</v>
      </c>
      <c r="C244" s="8" t="s">
        <v>8</v>
      </c>
      <c r="D244" s="7"/>
      <c r="E244" s="7">
        <v>2</v>
      </c>
      <c r="F244" s="8">
        <v>1029</v>
      </c>
      <c r="G244" s="8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 x14ac:dyDescent="0.25">
      <c r="A245" s="7">
        <v>244</v>
      </c>
      <c r="B245" s="8" t="s">
        <v>29</v>
      </c>
      <c r="C245" s="8" t="s">
        <v>804</v>
      </c>
      <c r="D245" s="7"/>
      <c r="E245" s="7">
        <v>2</v>
      </c>
      <c r="F245" s="8" t="s">
        <v>2179</v>
      </c>
      <c r="G245" s="8"/>
      <c r="H245" s="8">
        <f>VLOOKUP(B245,'[1]HSN CODE  TAX RATE'!$A$1:$E$13821,5,0)</f>
        <v>28</v>
      </c>
      <c r="I245" s="7"/>
      <c r="J245" s="7"/>
      <c r="K245" s="8">
        <v>6</v>
      </c>
      <c r="L245" s="3"/>
      <c r="M245" s="3"/>
      <c r="N245" s="3"/>
    </row>
    <row r="246" spans="1:14" x14ac:dyDescent="0.25">
      <c r="A246" s="7">
        <v>245</v>
      </c>
      <c r="B246" s="8" t="s">
        <v>163</v>
      </c>
      <c r="C246" s="8" t="s">
        <v>165</v>
      </c>
      <c r="D246" s="7"/>
      <c r="E246" s="7">
        <v>2</v>
      </c>
      <c r="F246" s="8" t="s">
        <v>2249</v>
      </c>
      <c r="G246" s="8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 x14ac:dyDescent="0.25">
      <c r="A247" s="7">
        <v>246</v>
      </c>
      <c r="B247" s="8" t="s">
        <v>220</v>
      </c>
      <c r="C247" s="8" t="s">
        <v>7</v>
      </c>
      <c r="D247" s="7"/>
      <c r="E247" s="7">
        <v>2</v>
      </c>
      <c r="F247" s="8" t="s">
        <v>3871</v>
      </c>
      <c r="G247" s="8"/>
      <c r="H247" s="8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 x14ac:dyDescent="0.25">
      <c r="A248" s="7">
        <v>247</v>
      </c>
      <c r="B248" s="8">
        <v>26412830</v>
      </c>
      <c r="C248" s="8" t="s">
        <v>231</v>
      </c>
      <c r="D248" s="7"/>
      <c r="E248" s="7">
        <v>2</v>
      </c>
      <c r="F248" s="8">
        <v>666</v>
      </c>
      <c r="G248" s="8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 x14ac:dyDescent="0.25">
      <c r="A249" s="7">
        <v>248</v>
      </c>
      <c r="B249" s="8" t="s">
        <v>453</v>
      </c>
      <c r="C249" s="8" t="s">
        <v>235</v>
      </c>
      <c r="D249" s="7"/>
      <c r="E249" s="7">
        <v>2</v>
      </c>
      <c r="F249" s="8">
        <v>2402</v>
      </c>
      <c r="G249" s="8"/>
      <c r="H249" s="8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 x14ac:dyDescent="0.25">
      <c r="A250" s="7">
        <v>249</v>
      </c>
      <c r="B250" s="8">
        <v>70060034</v>
      </c>
      <c r="C250" s="8" t="s">
        <v>294</v>
      </c>
      <c r="D250" s="7"/>
      <c r="E250" s="7">
        <v>2</v>
      </c>
      <c r="F250" s="8">
        <v>914</v>
      </c>
      <c r="G250" s="8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 x14ac:dyDescent="0.25">
      <c r="A251" s="7">
        <v>250</v>
      </c>
      <c r="B251" s="8" t="s">
        <v>336</v>
      </c>
      <c r="C251" s="94" t="s">
        <v>258</v>
      </c>
      <c r="D251" s="7"/>
      <c r="E251" s="14">
        <v>2</v>
      </c>
      <c r="F251" s="8">
        <v>1537</v>
      </c>
      <c r="G251" s="8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 x14ac:dyDescent="0.25">
      <c r="A252" s="7">
        <v>251</v>
      </c>
      <c r="B252" s="8">
        <v>26716953</v>
      </c>
      <c r="C252" s="13" t="s">
        <v>341</v>
      </c>
      <c r="D252" s="7"/>
      <c r="E252" s="14">
        <v>2</v>
      </c>
      <c r="F252" s="8" t="s">
        <v>2430</v>
      </c>
      <c r="G252" s="8"/>
      <c r="H252" s="8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 x14ac:dyDescent="0.25">
      <c r="A253" s="7">
        <v>252</v>
      </c>
      <c r="B253" s="8">
        <v>26218255</v>
      </c>
      <c r="C253" s="13" t="s">
        <v>344</v>
      </c>
      <c r="D253" s="7"/>
      <c r="E253" s="14">
        <v>2</v>
      </c>
      <c r="F253" s="8" t="s">
        <v>3965</v>
      </c>
      <c r="G253" s="8"/>
      <c r="H253" s="8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 x14ac:dyDescent="0.25">
      <c r="A254" s="7">
        <v>253</v>
      </c>
      <c r="B254" s="8">
        <v>26217163</v>
      </c>
      <c r="C254" s="94" t="s">
        <v>400</v>
      </c>
      <c r="D254" s="7"/>
      <c r="E254" s="14">
        <v>2</v>
      </c>
      <c r="F254" s="8">
        <v>2456</v>
      </c>
      <c r="G254" s="8"/>
      <c r="H254" s="8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 x14ac:dyDescent="0.25">
      <c r="A255" s="7">
        <v>254</v>
      </c>
      <c r="B255" s="95">
        <v>70060157</v>
      </c>
      <c r="C255" s="96" t="s">
        <v>415</v>
      </c>
      <c r="D255" s="7"/>
      <c r="E255" s="14">
        <v>2</v>
      </c>
      <c r="F255" s="8">
        <v>594</v>
      </c>
      <c r="G255" s="8"/>
      <c r="H255" s="8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 x14ac:dyDescent="0.25">
      <c r="A256" s="7">
        <v>255</v>
      </c>
      <c r="B256" s="8">
        <v>26247149</v>
      </c>
      <c r="C256" s="13" t="s">
        <v>442</v>
      </c>
      <c r="D256" s="7"/>
      <c r="E256" s="14">
        <v>2</v>
      </c>
      <c r="F256" s="8">
        <v>1265</v>
      </c>
      <c r="G256" s="8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 x14ac:dyDescent="0.25">
      <c r="A257" s="7">
        <v>256</v>
      </c>
      <c r="B257" s="8">
        <v>26217976</v>
      </c>
      <c r="C257" s="97" t="s">
        <v>274</v>
      </c>
      <c r="D257" s="7"/>
      <c r="E257" s="7">
        <v>2</v>
      </c>
      <c r="F257" s="8">
        <v>1747</v>
      </c>
      <c r="G257" s="8"/>
      <c r="H257" s="8">
        <f>VLOOKUP(B257,'[1]HSN CODE  TAX RATE'!$A$1:$E$13821,5,0)</f>
        <v>28</v>
      </c>
      <c r="I257" s="7"/>
      <c r="J257" s="7"/>
      <c r="K257" s="8"/>
      <c r="L257" s="3"/>
      <c r="M257" s="3"/>
      <c r="N257" s="3"/>
    </row>
    <row r="258" spans="1:14" x14ac:dyDescent="0.25">
      <c r="A258" s="7">
        <v>257</v>
      </c>
      <c r="B258" s="8">
        <v>26243461</v>
      </c>
      <c r="C258" s="13" t="s">
        <v>334</v>
      </c>
      <c r="D258" s="7"/>
      <c r="E258" s="14">
        <v>2</v>
      </c>
      <c r="F258" s="8">
        <v>485</v>
      </c>
      <c r="G258" s="8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 x14ac:dyDescent="0.25">
      <c r="A259" s="7">
        <v>258</v>
      </c>
      <c r="B259" s="8">
        <v>26247310</v>
      </c>
      <c r="C259" s="13" t="s">
        <v>1718</v>
      </c>
      <c r="D259" s="7"/>
      <c r="E259" s="14">
        <v>2</v>
      </c>
      <c r="F259" s="8">
        <v>2753</v>
      </c>
      <c r="G259" s="8"/>
      <c r="H259" s="8"/>
      <c r="I259" s="7"/>
      <c r="J259" s="7"/>
      <c r="K259" s="7"/>
      <c r="L259" s="3"/>
      <c r="M259" s="3"/>
      <c r="N259" s="3"/>
    </row>
    <row r="260" spans="1:14" x14ac:dyDescent="0.25">
      <c r="A260" s="7">
        <v>259</v>
      </c>
      <c r="B260" s="8">
        <v>26211832</v>
      </c>
      <c r="C260" s="13" t="s">
        <v>545</v>
      </c>
      <c r="D260" s="7"/>
      <c r="E260" s="14">
        <v>2</v>
      </c>
      <c r="F260" s="8">
        <v>516</v>
      </c>
      <c r="G260" s="8"/>
      <c r="H260" s="8"/>
      <c r="I260" s="7"/>
      <c r="J260" s="7"/>
      <c r="K260" s="7"/>
      <c r="L260" s="3"/>
      <c r="M260" s="3"/>
      <c r="N260" s="3"/>
    </row>
    <row r="261" spans="1:14" x14ac:dyDescent="0.25">
      <c r="A261" s="7">
        <v>260</v>
      </c>
      <c r="B261" s="8">
        <v>26248426</v>
      </c>
      <c r="C261" s="13" t="s">
        <v>261</v>
      </c>
      <c r="D261" s="7"/>
      <c r="E261" s="14">
        <v>2</v>
      </c>
      <c r="F261" s="8">
        <v>1038</v>
      </c>
      <c r="G261" s="8"/>
      <c r="H261" s="8"/>
      <c r="I261" s="7"/>
      <c r="J261" s="7"/>
      <c r="K261" s="7"/>
      <c r="L261" s="3"/>
      <c r="M261" s="3"/>
      <c r="N261" s="3"/>
    </row>
    <row r="262" spans="1:14" x14ac:dyDescent="0.25">
      <c r="A262" s="7">
        <v>261</v>
      </c>
      <c r="B262" s="8">
        <v>26021264</v>
      </c>
      <c r="C262" s="13" t="s">
        <v>569</v>
      </c>
      <c r="D262" s="7"/>
      <c r="E262" s="14">
        <v>2</v>
      </c>
      <c r="F262" s="8">
        <v>10104</v>
      </c>
      <c r="G262" s="8"/>
      <c r="H262" s="8"/>
      <c r="I262" s="7"/>
      <c r="J262" s="7"/>
      <c r="K262" s="7"/>
      <c r="L262" s="3"/>
      <c r="M262" s="3"/>
      <c r="N262" s="3"/>
    </row>
    <row r="263" spans="1:14" x14ac:dyDescent="0.25">
      <c r="A263" s="7">
        <v>262</v>
      </c>
      <c r="B263" s="8">
        <v>26247133</v>
      </c>
      <c r="C263" s="13" t="s">
        <v>401</v>
      </c>
      <c r="D263" s="7"/>
      <c r="E263" s="14">
        <v>2</v>
      </c>
      <c r="F263" s="8">
        <v>1620</v>
      </c>
      <c r="G263" s="8"/>
      <c r="H263" s="8"/>
      <c r="I263" s="7"/>
      <c r="J263" s="7"/>
      <c r="K263" s="7"/>
      <c r="L263" s="3"/>
      <c r="M263" s="3"/>
      <c r="N263" s="3"/>
    </row>
    <row r="264" spans="1:14" x14ac:dyDescent="0.25">
      <c r="A264" s="7">
        <v>263</v>
      </c>
      <c r="B264" s="8">
        <v>26221382</v>
      </c>
      <c r="C264" s="13" t="s">
        <v>245</v>
      </c>
      <c r="D264" s="7"/>
      <c r="E264" s="14">
        <v>2</v>
      </c>
      <c r="F264" s="8">
        <v>352</v>
      </c>
      <c r="G264" s="8"/>
      <c r="H264" s="8"/>
      <c r="I264" s="7"/>
      <c r="J264" s="7"/>
      <c r="K264" s="7"/>
      <c r="L264" s="3"/>
      <c r="M264" s="3"/>
      <c r="N264" s="3"/>
    </row>
    <row r="265" spans="1:14" x14ac:dyDescent="0.25">
      <c r="A265" s="7">
        <v>264</v>
      </c>
      <c r="B265" s="8">
        <v>26247137</v>
      </c>
      <c r="C265" s="13" t="s">
        <v>198</v>
      </c>
      <c r="D265" s="7"/>
      <c r="E265" s="14">
        <v>2</v>
      </c>
      <c r="F265" s="8">
        <v>1492</v>
      </c>
      <c r="G265" s="8"/>
      <c r="H265" s="8"/>
      <c r="I265" s="7"/>
      <c r="J265" s="7"/>
      <c r="K265" s="7"/>
      <c r="L265" s="3"/>
      <c r="M265" s="3"/>
      <c r="N265" s="3"/>
    </row>
    <row r="266" spans="1:14" x14ac:dyDescent="0.25">
      <c r="A266" s="7">
        <v>265</v>
      </c>
      <c r="B266" s="8">
        <v>26024255</v>
      </c>
      <c r="C266" s="13" t="s">
        <v>634</v>
      </c>
      <c r="D266" s="7"/>
      <c r="E266" s="14">
        <v>1</v>
      </c>
      <c r="F266" s="8">
        <v>1561</v>
      </c>
      <c r="G266" s="8"/>
      <c r="H266" s="8"/>
      <c r="I266" s="7"/>
      <c r="J266" s="7"/>
      <c r="K266" s="7"/>
      <c r="L266" s="3"/>
      <c r="M266" s="3"/>
      <c r="N266" s="3"/>
    </row>
    <row r="267" spans="1:14" x14ac:dyDescent="0.25">
      <c r="A267" s="7">
        <v>266</v>
      </c>
      <c r="B267" s="8">
        <v>26257127</v>
      </c>
      <c r="C267" s="13" t="s">
        <v>268</v>
      </c>
      <c r="D267" s="7"/>
      <c r="E267" s="14">
        <v>2</v>
      </c>
      <c r="F267" s="8" t="s">
        <v>1441</v>
      </c>
      <c r="G267" s="8"/>
      <c r="H267" s="8"/>
      <c r="I267" s="7"/>
      <c r="J267" s="7"/>
      <c r="K267" s="7"/>
      <c r="L267" s="3"/>
      <c r="M267" s="3"/>
      <c r="N267" s="3"/>
    </row>
    <row r="268" spans="1:14" x14ac:dyDescent="0.25">
      <c r="A268" s="7">
        <v>267</v>
      </c>
      <c r="B268" s="8">
        <v>26220610</v>
      </c>
      <c r="C268" s="13" t="s">
        <v>452</v>
      </c>
      <c r="D268" s="7"/>
      <c r="E268" s="14">
        <v>2</v>
      </c>
      <c r="F268" s="8">
        <v>4999</v>
      </c>
      <c r="G268" s="8"/>
      <c r="H268" s="8"/>
      <c r="I268" s="7"/>
      <c r="J268" s="7"/>
      <c r="K268" s="7"/>
      <c r="L268" s="3"/>
      <c r="M268" s="3"/>
      <c r="N268" s="3"/>
    </row>
    <row r="269" spans="1:14" x14ac:dyDescent="0.25">
      <c r="A269" s="7">
        <v>268</v>
      </c>
      <c r="B269" s="8" t="s">
        <v>661</v>
      </c>
      <c r="C269" s="13" t="s">
        <v>664</v>
      </c>
      <c r="D269" s="7"/>
      <c r="E269" s="14">
        <v>2</v>
      </c>
      <c r="F269" s="8" t="s">
        <v>2341</v>
      </c>
      <c r="G269" s="8"/>
      <c r="H269" s="8"/>
      <c r="I269" s="7"/>
      <c r="J269" s="7"/>
      <c r="K269" s="7"/>
      <c r="L269" s="3"/>
      <c r="M269" s="3"/>
      <c r="N269" s="3"/>
    </row>
    <row r="270" spans="1:14" x14ac:dyDescent="0.25">
      <c r="A270" s="7">
        <v>269</v>
      </c>
      <c r="B270" s="8">
        <v>26216759</v>
      </c>
      <c r="C270" s="13" t="s">
        <v>3721</v>
      </c>
      <c r="D270" s="7"/>
      <c r="E270" s="14">
        <v>2</v>
      </c>
      <c r="F270" s="8">
        <v>626</v>
      </c>
      <c r="G270" s="8"/>
      <c r="H270" s="8"/>
      <c r="I270" s="7"/>
      <c r="J270" s="7"/>
      <c r="K270" s="7"/>
      <c r="L270" s="3"/>
      <c r="M270" s="3"/>
      <c r="N270" s="3"/>
    </row>
    <row r="271" spans="1:14" x14ac:dyDescent="0.25">
      <c r="A271" s="7">
        <v>270</v>
      </c>
      <c r="B271" s="8">
        <v>26258067</v>
      </c>
      <c r="C271" s="13" t="s">
        <v>265</v>
      </c>
      <c r="D271" s="7"/>
      <c r="E271" s="14">
        <v>2</v>
      </c>
      <c r="F271" s="8">
        <v>4138</v>
      </c>
      <c r="G271" s="8"/>
      <c r="H271" s="8"/>
      <c r="I271" s="7"/>
      <c r="J271" s="7"/>
      <c r="K271" s="7"/>
      <c r="L271" s="3"/>
      <c r="M271" s="3"/>
      <c r="N271" s="3"/>
    </row>
    <row r="272" spans="1:14" x14ac:dyDescent="0.25">
      <c r="A272" s="7">
        <v>271</v>
      </c>
      <c r="B272" s="8">
        <v>26241819</v>
      </c>
      <c r="C272" s="13" t="s">
        <v>348</v>
      </c>
      <c r="D272" s="7"/>
      <c r="E272" s="14">
        <v>2</v>
      </c>
      <c r="F272" s="8">
        <v>2910</v>
      </c>
      <c r="G272" s="8"/>
      <c r="H272" s="8"/>
      <c r="I272" s="7"/>
      <c r="J272" s="7"/>
      <c r="K272" s="7"/>
      <c r="L272" s="3"/>
      <c r="M272" s="3"/>
      <c r="N272" s="3"/>
    </row>
    <row r="273" spans="1:14" x14ac:dyDescent="0.25">
      <c r="A273" s="7">
        <v>272</v>
      </c>
      <c r="B273" s="8">
        <v>26215224</v>
      </c>
      <c r="C273" s="13" t="s">
        <v>700</v>
      </c>
      <c r="D273" s="7"/>
      <c r="E273" s="14">
        <v>2</v>
      </c>
      <c r="F273" s="8">
        <v>730</v>
      </c>
      <c r="G273" s="8"/>
      <c r="H273" s="8"/>
      <c r="I273" s="7"/>
      <c r="J273" s="7"/>
      <c r="K273" s="7"/>
      <c r="L273" s="3"/>
      <c r="M273" s="3"/>
      <c r="N273" s="3"/>
    </row>
    <row r="274" spans="1:14" x14ac:dyDescent="0.25">
      <c r="A274" s="7">
        <v>273</v>
      </c>
      <c r="B274" s="8">
        <v>26253067</v>
      </c>
      <c r="C274" s="13" t="s">
        <v>244</v>
      </c>
      <c r="D274" s="7"/>
      <c r="E274" s="14">
        <v>2</v>
      </c>
      <c r="F274" s="8">
        <v>95</v>
      </c>
      <c r="G274" s="8"/>
      <c r="H274" s="8"/>
      <c r="I274" s="7"/>
      <c r="J274" s="7"/>
      <c r="K274" s="7"/>
      <c r="L274" s="3"/>
      <c r="M274" s="3"/>
      <c r="N274" s="3"/>
    </row>
    <row r="275" spans="1:14" x14ac:dyDescent="0.25">
      <c r="A275" s="7">
        <v>274</v>
      </c>
      <c r="B275" s="8">
        <v>26258598</v>
      </c>
      <c r="C275" s="13" t="s">
        <v>348</v>
      </c>
      <c r="D275" s="7"/>
      <c r="E275" s="14">
        <v>2</v>
      </c>
      <c r="F275" s="8">
        <v>1208</v>
      </c>
      <c r="G275" s="8"/>
      <c r="H275" s="8"/>
      <c r="I275" s="7"/>
      <c r="J275" s="7"/>
      <c r="K275" s="7"/>
      <c r="L275" s="3"/>
      <c r="M275" s="3"/>
      <c r="N275" s="3"/>
    </row>
    <row r="276" spans="1:14" x14ac:dyDescent="0.25">
      <c r="A276" s="7">
        <v>275</v>
      </c>
      <c r="B276" s="8">
        <v>26246947</v>
      </c>
      <c r="C276" s="13" t="s">
        <v>261</v>
      </c>
      <c r="D276" s="7"/>
      <c r="E276" s="14">
        <v>2</v>
      </c>
      <c r="F276" s="8">
        <v>1230</v>
      </c>
      <c r="G276" s="8"/>
      <c r="H276" s="8"/>
      <c r="I276" s="7"/>
      <c r="J276" s="7"/>
      <c r="K276" s="7"/>
      <c r="L276" s="3"/>
      <c r="M276" s="3"/>
      <c r="N276" s="3"/>
    </row>
    <row r="277" spans="1:14" x14ac:dyDescent="0.25">
      <c r="A277" s="7">
        <v>276</v>
      </c>
      <c r="B277" s="8">
        <v>26223061</v>
      </c>
      <c r="C277" s="13" t="s">
        <v>1414</v>
      </c>
      <c r="D277" s="7"/>
      <c r="E277" s="14">
        <v>2</v>
      </c>
      <c r="F277" s="8">
        <v>5013</v>
      </c>
      <c r="G277" s="8"/>
      <c r="H277" s="8"/>
      <c r="I277" s="7"/>
      <c r="J277" s="7"/>
      <c r="K277" s="7"/>
      <c r="L277" s="3"/>
      <c r="M277" s="3"/>
      <c r="N277" s="3"/>
    </row>
    <row r="278" spans="1:14" x14ac:dyDescent="0.25">
      <c r="A278" s="7">
        <v>277</v>
      </c>
      <c r="B278" s="8" t="s">
        <v>1396</v>
      </c>
      <c r="C278" s="13" t="s">
        <v>266</v>
      </c>
      <c r="D278" s="7"/>
      <c r="E278" s="14">
        <v>2</v>
      </c>
      <c r="F278" s="8" t="s">
        <v>3339</v>
      </c>
      <c r="G278" s="8"/>
      <c r="H278" s="8"/>
      <c r="I278" s="7"/>
      <c r="J278" s="7"/>
      <c r="K278" s="7"/>
      <c r="L278" s="3"/>
      <c r="M278" s="3"/>
      <c r="N278" s="3"/>
    </row>
    <row r="279" spans="1:14" x14ac:dyDescent="0.25">
      <c r="A279" s="7">
        <v>278</v>
      </c>
      <c r="B279" s="8">
        <v>26216132</v>
      </c>
      <c r="C279" s="13" t="s">
        <v>452</v>
      </c>
      <c r="D279" s="7"/>
      <c r="E279" s="14">
        <v>2</v>
      </c>
      <c r="F279" s="8">
        <v>3509</v>
      </c>
      <c r="G279" s="8"/>
      <c r="H279" s="8"/>
      <c r="I279" s="7"/>
      <c r="J279" s="7"/>
      <c r="K279" s="7"/>
      <c r="L279" s="3"/>
      <c r="M279" s="3"/>
      <c r="N279" s="3"/>
    </row>
    <row r="280" spans="1:14" x14ac:dyDescent="0.25">
      <c r="A280" s="7">
        <v>279</v>
      </c>
      <c r="B280" s="8">
        <v>26217930</v>
      </c>
      <c r="C280" s="13" t="s">
        <v>344</v>
      </c>
      <c r="D280" s="7"/>
      <c r="E280" s="14">
        <v>2</v>
      </c>
      <c r="F280" s="8">
        <v>1957</v>
      </c>
      <c r="G280" s="8"/>
      <c r="H280" s="8"/>
      <c r="I280" s="7"/>
      <c r="J280" s="7"/>
      <c r="K280" s="7"/>
      <c r="L280" s="3"/>
      <c r="M280" s="3"/>
      <c r="N280" s="3"/>
    </row>
    <row r="281" spans="1:14" x14ac:dyDescent="0.25">
      <c r="A281" s="7">
        <v>280</v>
      </c>
      <c r="B281" s="8">
        <v>26243628</v>
      </c>
      <c r="C281" s="13" t="s">
        <v>674</v>
      </c>
      <c r="D281" s="7"/>
      <c r="E281" s="14">
        <v>2</v>
      </c>
      <c r="F281" s="8">
        <v>889</v>
      </c>
      <c r="G281" s="8"/>
      <c r="H281" s="8"/>
      <c r="I281" s="7"/>
      <c r="J281" s="7"/>
      <c r="K281" s="7"/>
      <c r="L281" s="3"/>
      <c r="M281" s="3"/>
      <c r="N281" s="3"/>
    </row>
    <row r="282" spans="1:14" x14ac:dyDescent="0.25">
      <c r="A282" s="7">
        <v>281</v>
      </c>
      <c r="B282" s="8">
        <v>26247320</v>
      </c>
      <c r="C282" s="13" t="s">
        <v>265</v>
      </c>
      <c r="D282" s="7"/>
      <c r="E282" s="14">
        <v>1</v>
      </c>
      <c r="F282" s="8">
        <v>1248</v>
      </c>
      <c r="G282" s="8"/>
      <c r="H282" s="8"/>
      <c r="I282" s="7"/>
      <c r="J282" s="7"/>
      <c r="K282" s="7"/>
      <c r="L282" s="3"/>
      <c r="M282" s="3"/>
      <c r="N282" s="3"/>
    </row>
    <row r="283" spans="1:14" x14ac:dyDescent="0.25">
      <c r="A283" s="7">
        <v>282</v>
      </c>
      <c r="B283" s="8">
        <v>26220601</v>
      </c>
      <c r="C283" s="13" t="s">
        <v>89</v>
      </c>
      <c r="D283" s="7"/>
      <c r="E283" s="14">
        <v>2</v>
      </c>
      <c r="F283" s="8">
        <v>1566</v>
      </c>
      <c r="G283" s="8"/>
      <c r="H283" s="8"/>
      <c r="I283" s="7"/>
      <c r="J283" s="7"/>
      <c r="K283" s="7"/>
      <c r="L283" s="3"/>
      <c r="M283" s="3"/>
      <c r="N283" s="3"/>
    </row>
    <row r="284" spans="1:14" x14ac:dyDescent="0.25">
      <c r="A284" s="7">
        <v>283</v>
      </c>
      <c r="B284" s="8">
        <v>26221051</v>
      </c>
      <c r="C284" s="13" t="s">
        <v>337</v>
      </c>
      <c r="D284" s="7"/>
      <c r="E284" s="14">
        <v>2</v>
      </c>
      <c r="F284" s="8">
        <v>1107</v>
      </c>
      <c r="G284" s="8"/>
      <c r="H284" s="8"/>
      <c r="I284" s="7"/>
      <c r="J284" s="7"/>
      <c r="K284" s="7"/>
      <c r="L284" s="3"/>
      <c r="M284" s="3"/>
      <c r="N284" s="3"/>
    </row>
    <row r="285" spans="1:14" x14ac:dyDescent="0.25">
      <c r="A285" s="7">
        <v>284</v>
      </c>
      <c r="B285" s="8">
        <v>26261946</v>
      </c>
      <c r="C285" s="13" t="s">
        <v>239</v>
      </c>
      <c r="D285" s="7"/>
      <c r="E285" s="14">
        <v>2</v>
      </c>
      <c r="F285" s="8">
        <v>1031</v>
      </c>
      <c r="G285" s="8"/>
      <c r="H285" s="8"/>
      <c r="I285" s="7"/>
      <c r="J285" s="7"/>
      <c r="K285" s="7"/>
      <c r="L285" s="3"/>
      <c r="M285" s="3"/>
      <c r="N285" s="3"/>
    </row>
    <row r="286" spans="1:14" x14ac:dyDescent="0.25">
      <c r="A286" s="7">
        <v>285</v>
      </c>
      <c r="B286" s="8">
        <v>26253237</v>
      </c>
      <c r="C286" s="13" t="s">
        <v>3567</v>
      </c>
      <c r="D286" s="7"/>
      <c r="E286" s="14">
        <v>2</v>
      </c>
      <c r="F286" s="8"/>
      <c r="G286" s="8"/>
      <c r="H286" s="8"/>
      <c r="I286" s="7"/>
      <c r="J286" s="7"/>
      <c r="K286" s="7"/>
      <c r="L286" s="3"/>
      <c r="M286" s="3"/>
      <c r="N286" s="3"/>
    </row>
    <row r="287" spans="1:14" x14ac:dyDescent="0.25">
      <c r="A287" s="7">
        <v>286</v>
      </c>
      <c r="B287" s="8">
        <v>26244312</v>
      </c>
      <c r="C287" s="13" t="s">
        <v>3902</v>
      </c>
      <c r="D287" s="7"/>
      <c r="E287" s="7">
        <v>2</v>
      </c>
      <c r="F287" s="8">
        <v>1009</v>
      </c>
      <c r="G287" s="8"/>
      <c r="H287" s="8"/>
      <c r="I287" s="7"/>
      <c r="J287" s="7"/>
      <c r="K287" s="7"/>
      <c r="L287" s="3"/>
      <c r="M287" s="3"/>
      <c r="N287" s="3"/>
    </row>
    <row r="288" spans="1:14" x14ac:dyDescent="0.25">
      <c r="A288" s="7">
        <v>287</v>
      </c>
      <c r="B288" s="8">
        <v>26263994</v>
      </c>
      <c r="C288" s="8" t="s">
        <v>265</v>
      </c>
      <c r="D288" s="7"/>
      <c r="E288" s="7">
        <v>2</v>
      </c>
      <c r="F288" s="8">
        <v>1093</v>
      </c>
      <c r="G288" s="8"/>
      <c r="H288" s="8"/>
      <c r="I288" s="7"/>
      <c r="J288" s="7"/>
      <c r="K288" s="7"/>
      <c r="L288" s="3"/>
      <c r="M288" s="3"/>
      <c r="N288" s="3"/>
    </row>
    <row r="289" spans="1:14" x14ac:dyDescent="0.25">
      <c r="A289" s="7">
        <v>288</v>
      </c>
      <c r="B289" s="8">
        <v>26218433</v>
      </c>
      <c r="C289" s="13" t="s">
        <v>245</v>
      </c>
      <c r="D289" s="7"/>
      <c r="E289" s="7">
        <v>2</v>
      </c>
      <c r="F289" s="8">
        <v>1757</v>
      </c>
      <c r="G289" s="8"/>
      <c r="H289" s="8"/>
      <c r="I289" s="7"/>
      <c r="J289" s="7"/>
      <c r="K289" s="7"/>
      <c r="L289" s="3"/>
      <c r="M289" s="3"/>
      <c r="N289" s="3"/>
    </row>
    <row r="290" spans="1:14" x14ac:dyDescent="0.25">
      <c r="A290" s="7">
        <v>289</v>
      </c>
      <c r="B290" s="8">
        <v>26022027</v>
      </c>
      <c r="C290" s="13" t="s">
        <v>4120</v>
      </c>
      <c r="D290" s="7"/>
      <c r="E290" s="7">
        <v>2</v>
      </c>
      <c r="F290" s="8">
        <v>14655</v>
      </c>
      <c r="G290" s="8"/>
      <c r="H290" s="8"/>
      <c r="I290" s="7"/>
      <c r="J290" s="7"/>
      <c r="K290" s="7"/>
      <c r="L290" s="3"/>
      <c r="M290" s="3"/>
      <c r="N290" s="3"/>
    </row>
    <row r="291" spans="1:14" x14ac:dyDescent="0.25">
      <c r="A291" s="7">
        <v>290</v>
      </c>
      <c r="B291" s="8">
        <v>26246280</v>
      </c>
      <c r="C291" s="13" t="s">
        <v>265</v>
      </c>
      <c r="D291" s="7"/>
      <c r="E291" s="7">
        <v>2</v>
      </c>
      <c r="F291" s="8">
        <v>2649</v>
      </c>
      <c r="G291" s="8"/>
      <c r="H291" s="8"/>
      <c r="I291" s="7"/>
      <c r="J291" s="7"/>
      <c r="K291" s="7"/>
      <c r="L291" s="3"/>
      <c r="M291" s="3"/>
      <c r="N291" s="3"/>
    </row>
    <row r="292" spans="1:14" x14ac:dyDescent="0.25">
      <c r="A292" s="7">
        <v>291</v>
      </c>
      <c r="B292" s="8">
        <v>26223442</v>
      </c>
      <c r="C292" s="13" t="s">
        <v>344</v>
      </c>
      <c r="D292" s="7"/>
      <c r="E292" s="7">
        <v>2</v>
      </c>
      <c r="F292" s="8" t="s">
        <v>4613</v>
      </c>
      <c r="G292" s="8"/>
      <c r="H292" s="8"/>
      <c r="I292" s="7"/>
      <c r="J292" s="7"/>
      <c r="K292" s="7"/>
      <c r="L292" s="3"/>
      <c r="M292" s="3"/>
      <c r="N292" s="3"/>
    </row>
    <row r="293" spans="1:14" x14ac:dyDescent="0.25">
      <c r="A293" s="7">
        <v>292</v>
      </c>
      <c r="B293" s="8">
        <v>26246681</v>
      </c>
      <c r="C293" s="13" t="s">
        <v>4389</v>
      </c>
      <c r="D293" s="7"/>
      <c r="E293" s="7">
        <v>2</v>
      </c>
      <c r="F293" s="8">
        <v>546</v>
      </c>
      <c r="G293" s="8"/>
      <c r="H293" s="8"/>
      <c r="I293" s="7"/>
      <c r="J293" s="7"/>
      <c r="K293" s="7"/>
      <c r="L293" s="3"/>
      <c r="M293" s="3"/>
      <c r="N293" s="3"/>
    </row>
    <row r="294" spans="1:14" x14ac:dyDescent="0.25">
      <c r="A294" s="7">
        <v>293</v>
      </c>
      <c r="B294" s="8">
        <v>26261603</v>
      </c>
      <c r="C294" s="13" t="s">
        <v>4456</v>
      </c>
      <c r="D294" s="7"/>
      <c r="E294" s="7">
        <v>2</v>
      </c>
      <c r="F294" s="8"/>
      <c r="G294" s="8"/>
      <c r="H294" s="8"/>
      <c r="I294" s="7"/>
      <c r="J294" s="7"/>
      <c r="K294" s="7"/>
      <c r="L294" s="3"/>
      <c r="M294" s="3"/>
      <c r="N294" s="3"/>
    </row>
    <row r="295" spans="1:14" x14ac:dyDescent="0.25">
      <c r="A295" s="7">
        <v>294</v>
      </c>
      <c r="B295" s="8">
        <v>26261522</v>
      </c>
      <c r="C295" s="13" t="s">
        <v>674</v>
      </c>
      <c r="D295" s="7"/>
      <c r="E295" s="7">
        <v>2</v>
      </c>
      <c r="F295" s="8">
        <v>1001</v>
      </c>
      <c r="G295" s="8"/>
      <c r="H295" s="8"/>
      <c r="I295" s="7"/>
      <c r="J295" s="7"/>
      <c r="K295" s="7"/>
      <c r="L295" s="3"/>
      <c r="M295" s="3"/>
      <c r="N295" s="3"/>
    </row>
    <row r="296" spans="1:14" x14ac:dyDescent="0.25">
      <c r="A296" s="7">
        <v>295</v>
      </c>
      <c r="B296" s="8">
        <v>26264994</v>
      </c>
      <c r="C296" s="13" t="s">
        <v>4582</v>
      </c>
      <c r="D296" s="7"/>
      <c r="E296" s="7">
        <v>2</v>
      </c>
      <c r="F296" s="8"/>
      <c r="G296" s="8"/>
      <c r="H296" s="8"/>
      <c r="I296" s="7"/>
      <c r="J296" s="7"/>
      <c r="K296" s="7"/>
      <c r="L296" s="3"/>
      <c r="M296" s="3"/>
      <c r="N296" s="3"/>
    </row>
    <row r="297" spans="1:14" x14ac:dyDescent="0.25">
      <c r="A297" s="7">
        <v>296</v>
      </c>
      <c r="B297" s="8">
        <v>26212684</v>
      </c>
      <c r="C297" s="8" t="s">
        <v>2734</v>
      </c>
      <c r="D297" s="7"/>
      <c r="E297" s="7">
        <v>3</v>
      </c>
      <c r="F297" s="8">
        <v>2386</v>
      </c>
      <c r="G297" s="8"/>
      <c r="H297" s="8">
        <f>VLOOKUP(B297,'[1]HSN CODE  TAX RATE'!$A$1:$E$13821,5,0)</f>
        <v>28</v>
      </c>
      <c r="I297" s="7"/>
      <c r="J297" s="7"/>
      <c r="K297" s="8"/>
      <c r="L297" s="3"/>
      <c r="M297" s="3"/>
      <c r="N297" s="3"/>
    </row>
    <row r="298" spans="1:14" x14ac:dyDescent="0.25">
      <c r="A298" s="7">
        <v>297</v>
      </c>
      <c r="B298" s="8">
        <v>26212976</v>
      </c>
      <c r="C298" s="8" t="s">
        <v>720</v>
      </c>
      <c r="D298" s="7"/>
      <c r="E298" s="7">
        <v>3</v>
      </c>
      <c r="F298" s="8">
        <v>2642</v>
      </c>
      <c r="G298" s="8"/>
      <c r="H298" s="8">
        <f>VLOOKUP(B298,'[1]HSN CODE  TAX RATE'!$A$1:$E$13821,5,0)</f>
        <v>28</v>
      </c>
      <c r="I298" s="7"/>
      <c r="J298" s="7"/>
      <c r="K298" s="8"/>
      <c r="L298" s="3"/>
      <c r="M298" s="3"/>
      <c r="N298" s="3"/>
    </row>
    <row r="299" spans="1:14" x14ac:dyDescent="0.25">
      <c r="A299" s="7">
        <v>298</v>
      </c>
      <c r="B299" s="8">
        <v>26215340</v>
      </c>
      <c r="C299" s="8" t="s">
        <v>2741</v>
      </c>
      <c r="D299" s="7"/>
      <c r="E299" s="7">
        <v>3</v>
      </c>
      <c r="F299" s="8">
        <v>2471</v>
      </c>
      <c r="G299" s="8"/>
      <c r="H299" s="8">
        <f>VLOOKUP(B299,'[1]HSN CODE  TAX RATE'!$A$1:$E$13821,5,0)</f>
        <v>28</v>
      </c>
      <c r="I299" s="7"/>
      <c r="J299" s="7"/>
      <c r="K299" s="8"/>
      <c r="L299" s="3"/>
      <c r="M299" s="3"/>
      <c r="N299" s="3"/>
    </row>
    <row r="300" spans="1:14" x14ac:dyDescent="0.25">
      <c r="A300" s="7">
        <v>299</v>
      </c>
      <c r="B300" s="8">
        <v>26257341</v>
      </c>
      <c r="C300" s="8" t="s">
        <v>2011</v>
      </c>
      <c r="D300" s="7"/>
      <c r="E300" s="7">
        <v>3</v>
      </c>
      <c r="F300" s="8">
        <v>1442</v>
      </c>
      <c r="G300" s="8"/>
      <c r="H300" s="8">
        <f>VLOOKUP(B300,'[1]HSN CODE  TAX RATE'!$A$1:$E$13821,5,0)</f>
        <v>28</v>
      </c>
      <c r="I300" s="13"/>
      <c r="J300" s="13"/>
      <c r="K300" s="8"/>
      <c r="L300" s="3"/>
      <c r="M300" s="3"/>
      <c r="N300" s="3"/>
    </row>
    <row r="301" spans="1:14" x14ac:dyDescent="0.25">
      <c r="A301" s="7">
        <v>300</v>
      </c>
      <c r="B301" s="8">
        <v>26216587</v>
      </c>
      <c r="C301" s="8" t="s">
        <v>297</v>
      </c>
      <c r="D301" s="7"/>
      <c r="E301" s="7">
        <v>3</v>
      </c>
      <c r="F301" s="8">
        <v>1868</v>
      </c>
      <c r="G301" s="8"/>
      <c r="H301" s="8">
        <f>VLOOKUP(B301,'[1]HSN CODE  TAX RATE'!$A$1:$E$13821,5,0)</f>
        <v>28</v>
      </c>
      <c r="I301" s="7"/>
      <c r="J301" s="7"/>
      <c r="K301" s="8"/>
      <c r="L301" s="3"/>
      <c r="M301" s="3"/>
      <c r="N301" s="3"/>
    </row>
    <row r="302" spans="1:14" x14ac:dyDescent="0.25">
      <c r="A302" s="7">
        <v>301</v>
      </c>
      <c r="B302" s="8">
        <v>26240467</v>
      </c>
      <c r="C302" s="98" t="s">
        <v>256</v>
      </c>
      <c r="D302" s="7"/>
      <c r="E302" s="7">
        <v>3</v>
      </c>
      <c r="F302" s="8">
        <v>1990</v>
      </c>
      <c r="G302" s="8"/>
      <c r="H302" s="8">
        <f>VLOOKUP(B302,'[1]HSN CODE  TAX RATE'!$A$1:$E$13821,5,0)</f>
        <v>28</v>
      </c>
      <c r="I302" s="7"/>
      <c r="J302" s="7"/>
      <c r="K302" s="8"/>
      <c r="L302" s="3"/>
      <c r="M302" s="3"/>
      <c r="N302" s="3"/>
    </row>
    <row r="303" spans="1:14" x14ac:dyDescent="0.25">
      <c r="A303" s="7">
        <v>302</v>
      </c>
      <c r="B303" s="8">
        <v>26253323</v>
      </c>
      <c r="C303" s="8" t="s">
        <v>3162</v>
      </c>
      <c r="D303" s="7"/>
      <c r="E303" s="7">
        <v>3</v>
      </c>
      <c r="F303" s="8">
        <v>4006</v>
      </c>
      <c r="G303" s="8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 x14ac:dyDescent="0.25">
      <c r="A304" s="7">
        <v>303</v>
      </c>
      <c r="B304" s="8">
        <v>26241796</v>
      </c>
      <c r="C304" s="8" t="s">
        <v>276</v>
      </c>
      <c r="D304" s="7"/>
      <c r="E304" s="7">
        <v>3</v>
      </c>
      <c r="F304" s="8">
        <v>654</v>
      </c>
      <c r="G304" s="8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 x14ac:dyDescent="0.25">
      <c r="A305" s="7">
        <v>304</v>
      </c>
      <c r="B305" s="8">
        <v>26243371</v>
      </c>
      <c r="C305" s="8" t="s">
        <v>277</v>
      </c>
      <c r="D305" s="7"/>
      <c r="E305" s="7">
        <v>3</v>
      </c>
      <c r="F305" s="8">
        <v>123</v>
      </c>
      <c r="G305" s="8"/>
      <c r="H305" s="8">
        <f>VLOOKUP(B305,'[1]HSN CODE  TAX RATE'!$A$1:$E$13821,5,0)</f>
        <v>28</v>
      </c>
      <c r="I305" s="7"/>
      <c r="J305" s="7"/>
      <c r="K305" s="8">
        <v>3</v>
      </c>
      <c r="L305" s="3"/>
      <c r="M305" s="3"/>
      <c r="N305" s="3"/>
    </row>
    <row r="306" spans="1:14" x14ac:dyDescent="0.25">
      <c r="A306" s="7">
        <v>305</v>
      </c>
      <c r="B306" s="8">
        <v>26252761</v>
      </c>
      <c r="C306" s="8" t="s">
        <v>261</v>
      </c>
      <c r="D306" s="7"/>
      <c r="E306" s="7">
        <v>3</v>
      </c>
      <c r="F306" s="8">
        <v>828</v>
      </c>
      <c r="G306" s="8"/>
      <c r="H306" s="8">
        <f>VLOOKUP(B306,'[1]HSN CODE  TAX RATE'!$A$1:$E$13821,5,0)</f>
        <v>28</v>
      </c>
      <c r="I306" s="7"/>
      <c r="J306" s="7"/>
      <c r="K306" s="8"/>
      <c r="L306" s="3"/>
      <c r="M306" s="3"/>
      <c r="N306" s="3"/>
    </row>
    <row r="307" spans="1:14" x14ac:dyDescent="0.25">
      <c r="A307" s="7">
        <v>306</v>
      </c>
      <c r="B307" s="8">
        <v>26215528</v>
      </c>
      <c r="C307" s="8" t="s">
        <v>5</v>
      </c>
      <c r="D307" s="7"/>
      <c r="E307" s="7">
        <v>3</v>
      </c>
      <c r="F307" s="8" t="s">
        <v>4489</v>
      </c>
      <c r="G307" s="8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 x14ac:dyDescent="0.25">
      <c r="A308" s="7">
        <v>307</v>
      </c>
      <c r="B308" s="8" t="s">
        <v>108</v>
      </c>
      <c r="C308" s="8" t="s">
        <v>109</v>
      </c>
      <c r="D308" s="7"/>
      <c r="E308" s="7">
        <v>3</v>
      </c>
      <c r="F308" s="8">
        <v>468</v>
      </c>
      <c r="G308" s="8"/>
      <c r="H308" s="8">
        <f>VLOOKUP(B308,'[1]HSN CODE  TAX RATE'!$A$1:$E$13821,5,0)</f>
        <v>18</v>
      </c>
      <c r="I308" s="7"/>
      <c r="J308" s="7"/>
      <c r="K308" s="8"/>
      <c r="L308" s="3"/>
      <c r="M308" s="3"/>
      <c r="N308" s="3"/>
    </row>
    <row r="309" spans="1:14" x14ac:dyDescent="0.25">
      <c r="A309" s="7">
        <v>308</v>
      </c>
      <c r="B309" s="8">
        <v>26216332</v>
      </c>
      <c r="C309" s="8" t="s">
        <v>154</v>
      </c>
      <c r="D309" s="7"/>
      <c r="E309" s="7">
        <v>3</v>
      </c>
      <c r="F309" s="8">
        <v>47</v>
      </c>
      <c r="G309" s="8"/>
      <c r="H309" s="8">
        <f>VLOOKUP(B309,'[1]HSN CODE  TAX RATE'!$A$1:$E$13821,5,0)</f>
        <v>28</v>
      </c>
      <c r="I309" s="7"/>
      <c r="J309" s="7"/>
      <c r="K309" s="8"/>
      <c r="L309" s="3"/>
      <c r="M309" s="3"/>
      <c r="N309" s="3"/>
    </row>
    <row r="310" spans="1:14" x14ac:dyDescent="0.25">
      <c r="A310" s="7">
        <v>309</v>
      </c>
      <c r="B310" s="8">
        <v>26217556</v>
      </c>
      <c r="C310" s="8" t="s">
        <v>175</v>
      </c>
      <c r="D310" s="7"/>
      <c r="E310" s="7">
        <v>3</v>
      </c>
      <c r="F310" s="8">
        <v>947</v>
      </c>
      <c r="G310" s="8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 x14ac:dyDescent="0.25">
      <c r="A311" s="7">
        <v>310</v>
      </c>
      <c r="B311" s="8">
        <v>26243834</v>
      </c>
      <c r="C311" s="8" t="s">
        <v>472</v>
      </c>
      <c r="D311" s="7"/>
      <c r="E311" s="7">
        <v>3</v>
      </c>
      <c r="F311" s="8">
        <v>1065</v>
      </c>
      <c r="G311" s="8"/>
      <c r="H311" s="8">
        <f>VLOOKUP(B311,'[1]HSN CODE  TAX RATE'!$A$1:$E$13821,5,0)</f>
        <v>28</v>
      </c>
      <c r="I311" s="7"/>
      <c r="J311" s="7"/>
      <c r="K311" s="8">
        <v>3</v>
      </c>
      <c r="L311" s="3"/>
      <c r="M311" s="3"/>
      <c r="N311" s="3"/>
    </row>
    <row r="312" spans="1:14" x14ac:dyDescent="0.25">
      <c r="A312" s="7">
        <v>311</v>
      </c>
      <c r="B312" s="7" t="s">
        <v>333</v>
      </c>
      <c r="C312" s="99" t="s">
        <v>430</v>
      </c>
      <c r="D312" s="7"/>
      <c r="E312" s="14">
        <v>3</v>
      </c>
      <c r="F312" s="8" t="s">
        <v>4498</v>
      </c>
      <c r="G312" s="8"/>
      <c r="H312" s="8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 x14ac:dyDescent="0.25">
      <c r="A313" s="7">
        <v>312</v>
      </c>
      <c r="B313" s="8">
        <v>26240489</v>
      </c>
      <c r="C313" s="13" t="s">
        <v>423</v>
      </c>
      <c r="D313" s="7"/>
      <c r="E313" s="14">
        <v>3</v>
      </c>
      <c r="F313" s="8">
        <v>511</v>
      </c>
      <c r="G313" s="8"/>
      <c r="H313" s="8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 x14ac:dyDescent="0.25">
      <c r="A314" s="7">
        <v>313</v>
      </c>
      <c r="B314" s="8">
        <v>26218283</v>
      </c>
      <c r="C314" s="8" t="s">
        <v>253</v>
      </c>
      <c r="D314" s="7"/>
      <c r="E314" s="7">
        <v>3</v>
      </c>
      <c r="F314" s="8">
        <v>1024</v>
      </c>
      <c r="G314" s="8"/>
      <c r="H314" s="8">
        <f>VLOOKUP(B314,'[1]HSN CODE  TAX RATE'!$A$1:$E$13821,5,0)</f>
        <v>28</v>
      </c>
      <c r="I314" s="7"/>
      <c r="J314" s="7"/>
      <c r="K314" s="8"/>
      <c r="L314" s="3"/>
      <c r="M314" s="3"/>
      <c r="N314" s="3"/>
    </row>
    <row r="315" spans="1:14" x14ac:dyDescent="0.25">
      <c r="A315" s="7">
        <v>314</v>
      </c>
      <c r="B315" s="8">
        <v>26412862</v>
      </c>
      <c r="C315" s="40" t="s">
        <v>832</v>
      </c>
      <c r="D315" s="7"/>
      <c r="E315" s="7">
        <v>3</v>
      </c>
      <c r="F315" s="8">
        <v>604</v>
      </c>
      <c r="G315" s="8"/>
      <c r="H315" s="8">
        <f>VLOOKUP(B315,'[1]HSN CODE  TAX RATE'!$A$1:$E$13821,5,0)</f>
        <v>28</v>
      </c>
      <c r="I315" s="7"/>
      <c r="J315" s="7"/>
      <c r="K315" s="8" t="s">
        <v>174</v>
      </c>
      <c r="L315" s="3"/>
      <c r="M315" s="3"/>
      <c r="N315" s="3"/>
    </row>
    <row r="316" spans="1:14" x14ac:dyDescent="0.25">
      <c r="A316" s="7">
        <v>315</v>
      </c>
      <c r="B316" s="8">
        <v>26260095</v>
      </c>
      <c r="C316" s="13" t="s">
        <v>265</v>
      </c>
      <c r="D316" s="7"/>
      <c r="E316" s="14">
        <v>3</v>
      </c>
      <c r="F316" s="8">
        <v>1092</v>
      </c>
      <c r="G316" s="8"/>
      <c r="H316" s="8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 x14ac:dyDescent="0.25">
      <c r="A317" s="7">
        <v>316</v>
      </c>
      <c r="B317" s="8">
        <v>26258577</v>
      </c>
      <c r="C317" s="13" t="s">
        <v>211</v>
      </c>
      <c r="D317" s="7"/>
      <c r="E317" s="14">
        <v>3</v>
      </c>
      <c r="F317" s="8">
        <v>301</v>
      </c>
      <c r="G317" s="8"/>
      <c r="H317" s="8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 x14ac:dyDescent="0.25">
      <c r="A318" s="7">
        <v>317</v>
      </c>
      <c r="B318" s="8" t="s">
        <v>551</v>
      </c>
      <c r="C318" s="13" t="s">
        <v>1394</v>
      </c>
      <c r="D318" s="7"/>
      <c r="E318" s="14">
        <v>3</v>
      </c>
      <c r="F318" s="8">
        <v>7268</v>
      </c>
      <c r="G318" s="8"/>
      <c r="H318" s="8"/>
      <c r="I318" s="7"/>
      <c r="J318" s="7"/>
      <c r="K318" s="7"/>
      <c r="L318" s="3"/>
      <c r="M318" s="3"/>
      <c r="N318" s="3"/>
    </row>
    <row r="319" spans="1:14" x14ac:dyDescent="0.25">
      <c r="A319" s="7">
        <v>318</v>
      </c>
      <c r="B319" s="8">
        <v>26246538</v>
      </c>
      <c r="C319" s="13" t="s">
        <v>198</v>
      </c>
      <c r="D319" s="7"/>
      <c r="E319" s="14">
        <v>3</v>
      </c>
      <c r="F319" s="8">
        <v>1633</v>
      </c>
      <c r="G319" s="8"/>
      <c r="H319" s="8"/>
      <c r="I319" s="7"/>
      <c r="J319" s="7"/>
      <c r="K319" s="7"/>
      <c r="L319" s="3"/>
      <c r="M319" s="3"/>
      <c r="N319" s="3"/>
    </row>
    <row r="320" spans="1:14" x14ac:dyDescent="0.25">
      <c r="A320" s="7">
        <v>319</v>
      </c>
      <c r="B320" s="8">
        <v>26021530</v>
      </c>
      <c r="C320" s="13" t="s">
        <v>2832</v>
      </c>
      <c r="D320" s="7"/>
      <c r="E320" s="14">
        <v>3</v>
      </c>
      <c r="F320" s="8">
        <v>16967</v>
      </c>
      <c r="G320" s="8"/>
      <c r="H320" s="8"/>
      <c r="I320" s="7"/>
      <c r="J320" s="7"/>
      <c r="K320" s="7"/>
      <c r="L320" s="3"/>
      <c r="M320" s="3"/>
      <c r="N320" s="3"/>
    </row>
    <row r="321" spans="1:14" x14ac:dyDescent="0.25">
      <c r="A321" s="7">
        <v>320</v>
      </c>
      <c r="B321" s="8">
        <v>26219232</v>
      </c>
      <c r="C321" s="13" t="s">
        <v>1056</v>
      </c>
      <c r="D321" s="7"/>
      <c r="E321" s="14">
        <v>2</v>
      </c>
      <c r="F321" s="8">
        <v>3758</v>
      </c>
      <c r="G321" s="8"/>
      <c r="H321" s="8"/>
      <c r="I321" s="7"/>
      <c r="J321" s="7"/>
      <c r="K321" s="7"/>
      <c r="L321" s="3"/>
      <c r="M321" s="3"/>
      <c r="N321" s="3"/>
    </row>
    <row r="322" spans="1:14" x14ac:dyDescent="0.25">
      <c r="A322" s="7">
        <v>321</v>
      </c>
      <c r="B322" s="8" t="s">
        <v>1838</v>
      </c>
      <c r="C322" s="13" t="s">
        <v>1839</v>
      </c>
      <c r="D322" s="7"/>
      <c r="E322" s="14">
        <v>3</v>
      </c>
      <c r="F322" s="8">
        <v>7818</v>
      </c>
      <c r="G322" s="8"/>
      <c r="H322" s="8"/>
      <c r="I322" s="7"/>
      <c r="J322" s="7"/>
      <c r="K322" s="7"/>
      <c r="L322" s="3"/>
      <c r="M322" s="3"/>
      <c r="N322" s="3"/>
    </row>
    <row r="323" spans="1:14" x14ac:dyDescent="0.25">
      <c r="A323" s="7">
        <v>322</v>
      </c>
      <c r="B323" s="8">
        <v>26244315</v>
      </c>
      <c r="C323" s="13" t="s">
        <v>2710</v>
      </c>
      <c r="D323" s="7"/>
      <c r="E323" s="14">
        <v>3</v>
      </c>
      <c r="F323" s="8">
        <v>607</v>
      </c>
      <c r="G323" s="8"/>
      <c r="H323" s="8"/>
      <c r="I323" s="7"/>
      <c r="J323" s="7"/>
      <c r="K323" s="7"/>
      <c r="L323" s="3"/>
      <c r="M323" s="3"/>
      <c r="N323" s="3"/>
    </row>
    <row r="324" spans="1:14" x14ac:dyDescent="0.25">
      <c r="A324" s="7">
        <v>323</v>
      </c>
      <c r="B324" s="8">
        <v>26719595</v>
      </c>
      <c r="C324" s="13" t="s">
        <v>2849</v>
      </c>
      <c r="D324" s="7"/>
      <c r="E324" s="14">
        <v>3</v>
      </c>
      <c r="F324" s="8">
        <v>246</v>
      </c>
      <c r="G324" s="8"/>
      <c r="H324" s="8"/>
      <c r="I324" s="7"/>
      <c r="J324" s="7"/>
      <c r="K324" s="7"/>
      <c r="L324" s="3"/>
      <c r="M324" s="3"/>
      <c r="N324" s="3"/>
    </row>
    <row r="325" spans="1:14" x14ac:dyDescent="0.25">
      <c r="A325" s="7">
        <v>324</v>
      </c>
      <c r="B325" s="8">
        <v>26263222</v>
      </c>
      <c r="C325" s="14" t="s">
        <v>265</v>
      </c>
      <c r="D325" s="7"/>
      <c r="E325" s="7">
        <v>3</v>
      </c>
      <c r="F325" s="8">
        <v>2817</v>
      </c>
      <c r="G325" s="8"/>
      <c r="H325" s="8"/>
      <c r="I325" s="7"/>
      <c r="J325" s="7"/>
      <c r="K325" s="7"/>
      <c r="L325" s="3"/>
      <c r="M325" s="3"/>
      <c r="N325" s="3"/>
    </row>
    <row r="326" spans="1:14" x14ac:dyDescent="0.25">
      <c r="A326" s="7">
        <v>325</v>
      </c>
      <c r="B326" s="8">
        <v>26241551</v>
      </c>
      <c r="C326" s="13" t="s">
        <v>348</v>
      </c>
      <c r="D326" s="7"/>
      <c r="E326" s="7">
        <v>3</v>
      </c>
      <c r="F326" s="8">
        <v>1177</v>
      </c>
      <c r="G326" s="8"/>
      <c r="H326" s="8"/>
      <c r="I326" s="7"/>
      <c r="J326" s="7"/>
      <c r="K326" s="7"/>
      <c r="L326" s="3"/>
      <c r="N326" s="3"/>
    </row>
    <row r="327" spans="1:14" x14ac:dyDescent="0.25">
      <c r="A327" s="7">
        <v>326</v>
      </c>
      <c r="B327" s="8" t="s">
        <v>4012</v>
      </c>
      <c r="C327" s="36" t="s">
        <v>4011</v>
      </c>
      <c r="D327" s="7"/>
      <c r="E327" s="7">
        <v>3</v>
      </c>
      <c r="F327" s="8">
        <v>9797</v>
      </c>
      <c r="G327" s="8"/>
      <c r="H327" s="8"/>
      <c r="I327" s="7"/>
      <c r="J327" s="7"/>
      <c r="K327" s="7"/>
      <c r="L327" s="3"/>
      <c r="N327" s="3"/>
    </row>
    <row r="328" spans="1:14" x14ac:dyDescent="0.25">
      <c r="A328" s="7">
        <v>327</v>
      </c>
      <c r="B328" s="8">
        <v>26247148</v>
      </c>
      <c r="C328" s="13" t="s">
        <v>674</v>
      </c>
      <c r="D328" s="7"/>
      <c r="E328" s="7">
        <v>3</v>
      </c>
      <c r="F328" s="8">
        <v>1265</v>
      </c>
      <c r="G328" s="8"/>
      <c r="H328" s="8"/>
      <c r="I328" s="7"/>
      <c r="J328" s="7"/>
      <c r="K328" s="7"/>
      <c r="L328" s="3"/>
      <c r="N328" s="3"/>
    </row>
    <row r="329" spans="1:14" x14ac:dyDescent="0.25">
      <c r="A329" s="7">
        <v>328</v>
      </c>
      <c r="B329" s="8">
        <v>26249898</v>
      </c>
      <c r="C329" s="13" t="s">
        <v>4508</v>
      </c>
      <c r="D329" s="7"/>
      <c r="E329" s="7">
        <v>3</v>
      </c>
      <c r="F329" s="8">
        <v>1102</v>
      </c>
      <c r="G329" s="8"/>
      <c r="H329" s="8"/>
      <c r="I329" s="7"/>
      <c r="J329" s="7"/>
      <c r="K329" s="7"/>
      <c r="L329" s="3"/>
      <c r="N329" s="3"/>
    </row>
    <row r="330" spans="1:14" x14ac:dyDescent="0.25">
      <c r="A330" s="7">
        <v>329</v>
      </c>
      <c r="B330" s="8">
        <v>26242698</v>
      </c>
      <c r="C330" s="13" t="s">
        <v>4562</v>
      </c>
      <c r="D330" s="7"/>
      <c r="E330" s="7">
        <v>3</v>
      </c>
      <c r="F330" s="8">
        <v>1238</v>
      </c>
      <c r="G330" s="8"/>
      <c r="H330" s="8"/>
      <c r="I330" s="7"/>
      <c r="J330" s="7"/>
      <c r="K330" s="7"/>
      <c r="L330" s="3"/>
      <c r="N330" s="3"/>
    </row>
    <row r="331" spans="1:14" x14ac:dyDescent="0.25">
      <c r="A331" s="7">
        <v>330</v>
      </c>
      <c r="B331" s="8">
        <v>26222949</v>
      </c>
      <c r="C331" s="13" t="s">
        <v>4457</v>
      </c>
      <c r="D331" s="7"/>
      <c r="E331" s="7">
        <v>3</v>
      </c>
      <c r="F331" s="8"/>
      <c r="G331" s="8"/>
      <c r="H331" s="8"/>
      <c r="I331" s="7"/>
      <c r="J331" s="7"/>
      <c r="K331" s="7"/>
      <c r="L331" s="3"/>
      <c r="N331" s="3"/>
    </row>
    <row r="332" spans="1:14" x14ac:dyDescent="0.25">
      <c r="A332" s="7">
        <v>331</v>
      </c>
      <c r="B332" s="8">
        <v>26245621</v>
      </c>
      <c r="C332" s="8" t="s">
        <v>2018</v>
      </c>
      <c r="D332" s="7"/>
      <c r="E332" s="7">
        <v>3</v>
      </c>
      <c r="F332" s="8">
        <v>1195</v>
      </c>
      <c r="G332" s="8"/>
      <c r="H332" s="8">
        <f>VLOOKUP(B332,'[1]HSN CODE  TAX RATE'!$A$1:$E$13821,5,0)</f>
        <v>28</v>
      </c>
      <c r="I332" s="90"/>
      <c r="J332" s="13"/>
      <c r="K332" s="8"/>
      <c r="L332" s="3"/>
      <c r="N332" s="3"/>
    </row>
    <row r="333" spans="1:14" x14ac:dyDescent="0.25">
      <c r="A333" s="7">
        <v>332</v>
      </c>
      <c r="B333" s="8">
        <v>26024254</v>
      </c>
      <c r="C333" s="8" t="s">
        <v>107</v>
      </c>
      <c r="D333" s="7"/>
      <c r="E333" s="7">
        <v>4</v>
      </c>
      <c r="F333" s="8">
        <v>576</v>
      </c>
      <c r="G333" s="8"/>
      <c r="H333" s="8">
        <f>VLOOKUP(B333,'[1]HSN CODE  TAX RATE'!$A$1:$E$13821,5,0)</f>
        <v>18</v>
      </c>
      <c r="I333" s="7"/>
      <c r="J333" s="7"/>
      <c r="K333" s="8"/>
      <c r="L333" s="3"/>
      <c r="N333" s="3"/>
    </row>
    <row r="334" spans="1:14" x14ac:dyDescent="0.25">
      <c r="A334" s="7">
        <v>333</v>
      </c>
      <c r="B334" s="8">
        <v>26247643</v>
      </c>
      <c r="C334" s="8" t="s">
        <v>2743</v>
      </c>
      <c r="D334" s="7"/>
      <c r="E334" s="7">
        <v>4</v>
      </c>
      <c r="F334" s="8">
        <v>1588</v>
      </c>
      <c r="G334" s="8"/>
      <c r="H334" s="8">
        <f>VLOOKUP(B334,'[1]HSN CODE  TAX RATE'!$A$1:$E$13821,5,0)</f>
        <v>28</v>
      </c>
      <c r="I334" s="7"/>
      <c r="J334" s="7"/>
      <c r="K334" s="8"/>
      <c r="L334" s="3"/>
      <c r="N334" s="3"/>
    </row>
    <row r="335" spans="1:14" x14ac:dyDescent="0.25">
      <c r="A335" s="7">
        <v>334</v>
      </c>
      <c r="B335" s="8">
        <v>26216410</v>
      </c>
      <c r="C335" s="29" t="s">
        <v>252</v>
      </c>
      <c r="D335" s="7"/>
      <c r="E335" s="7">
        <v>4</v>
      </c>
      <c r="F335" s="8">
        <v>1815</v>
      </c>
      <c r="G335" s="8"/>
      <c r="H335" s="8">
        <f>VLOOKUP(B335,'[1]HSN CODE  TAX RATE'!$A$1:$E$13821,5,0)</f>
        <v>28</v>
      </c>
      <c r="I335" s="7"/>
      <c r="J335" s="7"/>
      <c r="K335" s="8"/>
      <c r="L335" s="3"/>
      <c r="N335" s="3"/>
    </row>
    <row r="336" spans="1:14" x14ac:dyDescent="0.25">
      <c r="A336" s="7">
        <v>335</v>
      </c>
      <c r="B336" s="8">
        <v>26245216</v>
      </c>
      <c r="C336" s="8" t="s">
        <v>839</v>
      </c>
      <c r="D336" s="7"/>
      <c r="E336" s="7">
        <v>4</v>
      </c>
      <c r="F336" s="8">
        <v>2647</v>
      </c>
      <c r="G336" s="8"/>
      <c r="H336" s="8">
        <f>VLOOKUP(B336,'[1]HSN CODE  TAX RATE'!$A$1:$E$13821,5,0)</f>
        <v>28</v>
      </c>
      <c r="I336" s="13"/>
      <c r="J336" s="13"/>
      <c r="K336" s="8"/>
      <c r="L336" s="3"/>
      <c r="N336" s="3"/>
    </row>
    <row r="337" spans="1:14" x14ac:dyDescent="0.25">
      <c r="A337" s="7">
        <v>336</v>
      </c>
      <c r="B337" s="8" t="s">
        <v>9</v>
      </c>
      <c r="C337" s="36" t="s">
        <v>1875</v>
      </c>
      <c r="D337" s="7"/>
      <c r="E337" s="7">
        <v>4</v>
      </c>
      <c r="F337" s="8">
        <v>7268</v>
      </c>
      <c r="G337" s="8"/>
      <c r="H337" s="8">
        <f>VLOOKUP(B337,'[1]HSN CODE  TAX RATE'!$A$1:$E$13821,5,0)</f>
        <v>28</v>
      </c>
      <c r="I337" s="7"/>
      <c r="J337" s="7"/>
      <c r="K337" s="8"/>
      <c r="L337" s="3"/>
      <c r="N337" s="3"/>
    </row>
    <row r="338" spans="1:14" x14ac:dyDescent="0.25">
      <c r="A338" s="7">
        <v>337</v>
      </c>
      <c r="B338" s="8">
        <v>26215442</v>
      </c>
      <c r="C338" s="29" t="s">
        <v>296</v>
      </c>
      <c r="D338" s="7"/>
      <c r="E338" s="7">
        <v>4</v>
      </c>
      <c r="F338" s="8">
        <v>3008</v>
      </c>
      <c r="G338" s="8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 x14ac:dyDescent="0.25">
      <c r="A339" s="7">
        <v>338</v>
      </c>
      <c r="B339" s="8">
        <v>26215470</v>
      </c>
      <c r="C339" s="29" t="s">
        <v>2104</v>
      </c>
      <c r="D339" s="7"/>
      <c r="E339" s="7">
        <v>4</v>
      </c>
      <c r="F339" s="8">
        <v>789</v>
      </c>
      <c r="G339" s="8"/>
      <c r="H339" s="8">
        <f>VLOOKUP(B339,'[1]HSN CODE  TAX RATE'!$A$1:$E$13821,5,0)</f>
        <v>28</v>
      </c>
      <c r="I339" s="7"/>
      <c r="J339" s="7"/>
      <c r="K339" s="8"/>
      <c r="L339" s="3"/>
      <c r="N339" s="3"/>
    </row>
    <row r="340" spans="1:14" x14ac:dyDescent="0.25">
      <c r="A340" s="7">
        <v>339</v>
      </c>
      <c r="B340" s="8">
        <v>26240664</v>
      </c>
      <c r="C340" s="8" t="s">
        <v>3985</v>
      </c>
      <c r="D340" s="7"/>
      <c r="E340" s="7">
        <v>4</v>
      </c>
      <c r="F340" s="8">
        <v>329</v>
      </c>
      <c r="G340" s="8"/>
      <c r="H340" s="8">
        <f>VLOOKUP(B340,'[1]HSN CODE  TAX RATE'!$A$1:$E$13821,5,0)</f>
        <v>28</v>
      </c>
      <c r="I340" s="7"/>
      <c r="J340" s="7"/>
      <c r="K340" s="8"/>
      <c r="L340" s="3"/>
      <c r="N340" s="3"/>
    </row>
    <row r="341" spans="1:14" x14ac:dyDescent="0.25">
      <c r="A341" s="7">
        <v>340</v>
      </c>
      <c r="B341" s="8">
        <v>26245134</v>
      </c>
      <c r="C341" s="29" t="s">
        <v>2017</v>
      </c>
      <c r="D341" s="7"/>
      <c r="E341" s="7">
        <v>4</v>
      </c>
      <c r="F341" s="8">
        <v>1109</v>
      </c>
      <c r="G341" s="8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 x14ac:dyDescent="0.25">
      <c r="A342" s="7">
        <v>341</v>
      </c>
      <c r="B342" s="8">
        <v>26245224</v>
      </c>
      <c r="C342" s="8" t="s">
        <v>263</v>
      </c>
      <c r="D342" s="7"/>
      <c r="E342" s="7">
        <v>4</v>
      </c>
      <c r="F342" s="8" t="s">
        <v>3227</v>
      </c>
      <c r="G342" s="8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 x14ac:dyDescent="0.25">
      <c r="A343" s="7">
        <v>342</v>
      </c>
      <c r="B343" s="8">
        <v>26257359</v>
      </c>
      <c r="C343" s="8" t="s">
        <v>1661</v>
      </c>
      <c r="D343" s="7"/>
      <c r="E343" s="7">
        <v>4</v>
      </c>
      <c r="F343" s="8">
        <v>432</v>
      </c>
      <c r="G343" s="8"/>
      <c r="H343" s="8">
        <f>VLOOKUP(B343,'[1]HSN CODE  TAX RATE'!$A$1:$E$13821,5,0)</f>
        <v>28</v>
      </c>
      <c r="I343" s="7"/>
      <c r="J343" s="7"/>
      <c r="K343" s="8">
        <v>2</v>
      </c>
      <c r="L343" s="3"/>
      <c r="N343" s="3"/>
    </row>
    <row r="344" spans="1:14" x14ac:dyDescent="0.25">
      <c r="A344" s="7">
        <v>343</v>
      </c>
      <c r="B344" s="8">
        <v>26212679</v>
      </c>
      <c r="C344" s="29" t="s">
        <v>240</v>
      </c>
      <c r="D344" s="7"/>
      <c r="E344" s="7">
        <v>4</v>
      </c>
      <c r="F344" s="8">
        <v>3281</v>
      </c>
      <c r="G344" s="8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 x14ac:dyDescent="0.25">
      <c r="A345" s="7">
        <v>344</v>
      </c>
      <c r="B345" s="8">
        <v>26250417</v>
      </c>
      <c r="C345" s="8" t="s">
        <v>146</v>
      </c>
      <c r="D345" s="7"/>
      <c r="E345" s="7">
        <v>4</v>
      </c>
      <c r="F345" s="8">
        <v>70</v>
      </c>
      <c r="G345" s="8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 x14ac:dyDescent="0.25">
      <c r="A346" s="7">
        <v>345</v>
      </c>
      <c r="B346" s="8">
        <v>26243022</v>
      </c>
      <c r="C346" s="8" t="s">
        <v>147</v>
      </c>
      <c r="D346" s="7"/>
      <c r="E346" s="7">
        <v>4</v>
      </c>
      <c r="F346" s="8">
        <v>319</v>
      </c>
      <c r="G346" s="8"/>
      <c r="H346" s="8">
        <f>VLOOKUP(B346,'[1]HSN CODE  TAX RATE'!$A$1:$E$13821,5,0)</f>
        <v>28</v>
      </c>
      <c r="I346" s="7"/>
      <c r="J346" s="7"/>
      <c r="K346" s="8">
        <v>6</v>
      </c>
      <c r="L346" s="3"/>
      <c r="N346" s="3"/>
    </row>
    <row r="347" spans="1:14" x14ac:dyDescent="0.25">
      <c r="A347" s="7">
        <v>346</v>
      </c>
      <c r="B347" s="8">
        <v>26243685</v>
      </c>
      <c r="C347" s="8" t="s">
        <v>188</v>
      </c>
      <c r="D347" s="7"/>
      <c r="E347" s="7">
        <v>4</v>
      </c>
      <c r="F347" s="8">
        <v>423</v>
      </c>
      <c r="G347" s="8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 x14ac:dyDescent="0.25">
      <c r="A348" s="7">
        <v>347</v>
      </c>
      <c r="B348" s="8">
        <v>26252743</v>
      </c>
      <c r="C348" s="8" t="s">
        <v>200</v>
      </c>
      <c r="D348" s="7"/>
      <c r="E348" s="7">
        <v>4</v>
      </c>
      <c r="F348" s="8">
        <v>73</v>
      </c>
      <c r="G348" s="8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 x14ac:dyDescent="0.25">
      <c r="A349" s="7">
        <v>348</v>
      </c>
      <c r="B349" s="8">
        <v>70060101</v>
      </c>
      <c r="C349" s="8" t="s">
        <v>293</v>
      </c>
      <c r="D349" s="7"/>
      <c r="E349" s="7">
        <v>4</v>
      </c>
      <c r="F349" s="8">
        <v>508</v>
      </c>
      <c r="G349" s="8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 x14ac:dyDescent="0.25">
      <c r="A350" s="7">
        <v>349</v>
      </c>
      <c r="B350" s="8" t="s">
        <v>236</v>
      </c>
      <c r="C350" s="8" t="s">
        <v>465</v>
      </c>
      <c r="D350" s="7"/>
      <c r="E350" s="7">
        <v>4</v>
      </c>
      <c r="F350" s="8">
        <v>2055</v>
      </c>
      <c r="G350" s="8"/>
      <c r="H350" s="8">
        <f>VLOOKUP(B350,'[1]HSN CODE  TAX RATE'!$A$1:$E$13821,5,0)</f>
        <v>18</v>
      </c>
      <c r="I350" s="7"/>
      <c r="J350" s="7"/>
      <c r="K350" s="7"/>
      <c r="L350" s="3"/>
      <c r="N350" s="3"/>
    </row>
    <row r="351" spans="1:14" x14ac:dyDescent="0.25">
      <c r="A351" s="7">
        <v>350</v>
      </c>
      <c r="B351" s="8">
        <v>26218992</v>
      </c>
      <c r="C351" s="13" t="s">
        <v>340</v>
      </c>
      <c r="D351" s="7"/>
      <c r="E351" s="14">
        <v>4</v>
      </c>
      <c r="F351" s="8">
        <v>1107</v>
      </c>
      <c r="G351" s="8"/>
      <c r="H351" s="8">
        <f>VLOOKUP(B351,'[1]HSN CODE  TAX RATE'!$A$1:$E$13821,5,0)</f>
        <v>28</v>
      </c>
      <c r="I351" s="7"/>
      <c r="J351" s="7"/>
      <c r="K351" s="7"/>
      <c r="L351" s="3"/>
      <c r="N351" s="3"/>
    </row>
    <row r="352" spans="1:14" x14ac:dyDescent="0.25">
      <c r="A352" s="7">
        <v>351</v>
      </c>
      <c r="B352" s="8">
        <v>26244704</v>
      </c>
      <c r="C352" s="8" t="s">
        <v>2742</v>
      </c>
      <c r="D352" s="7"/>
      <c r="E352" s="7">
        <v>4</v>
      </c>
      <c r="F352" s="8">
        <v>1065</v>
      </c>
      <c r="G352" s="8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 x14ac:dyDescent="0.25">
      <c r="A353" s="7">
        <v>352</v>
      </c>
      <c r="B353" s="8">
        <v>26248996</v>
      </c>
      <c r="C353" s="13" t="s">
        <v>401</v>
      </c>
      <c r="D353" s="7"/>
      <c r="E353" s="14">
        <v>4</v>
      </c>
      <c r="F353" s="8">
        <v>1384</v>
      </c>
      <c r="G353" s="8"/>
      <c r="H353" s="8">
        <f>VLOOKUP(B353,'[1]HSN CODE  TAX RATE'!$A$1:$E$13821,5,0)</f>
        <v>28</v>
      </c>
      <c r="I353" s="7"/>
      <c r="J353" s="7"/>
      <c r="K353" s="7"/>
      <c r="L353" s="3"/>
      <c r="N353" s="3"/>
    </row>
    <row r="354" spans="1:14" x14ac:dyDescent="0.25">
      <c r="A354" s="7">
        <v>353</v>
      </c>
      <c r="B354" s="8">
        <v>26247604</v>
      </c>
      <c r="C354" s="13" t="s">
        <v>243</v>
      </c>
      <c r="D354" s="7"/>
      <c r="E354" s="14">
        <v>4</v>
      </c>
      <c r="F354" s="8">
        <v>313</v>
      </c>
      <c r="G354" s="8"/>
      <c r="H354" s="8"/>
      <c r="I354" s="7"/>
      <c r="J354" s="7"/>
      <c r="K354" s="7"/>
      <c r="L354" s="3"/>
      <c r="N354" s="3"/>
    </row>
    <row r="355" spans="1:14" x14ac:dyDescent="0.25">
      <c r="A355" s="7">
        <v>354</v>
      </c>
      <c r="B355" s="8">
        <v>26218431</v>
      </c>
      <c r="C355" s="13" t="s">
        <v>245</v>
      </c>
      <c r="D355" s="7"/>
      <c r="E355" s="14">
        <v>4</v>
      </c>
      <c r="F355" s="8">
        <v>1058</v>
      </c>
      <c r="G355" s="8"/>
      <c r="H355" s="8"/>
      <c r="I355" s="7"/>
      <c r="J355" s="7"/>
      <c r="K355" s="7"/>
      <c r="L355" s="3"/>
      <c r="N355" s="3"/>
    </row>
    <row r="356" spans="1:14" x14ac:dyDescent="0.25">
      <c r="A356" s="7">
        <v>355</v>
      </c>
      <c r="B356" s="8">
        <v>26258923</v>
      </c>
      <c r="C356" s="13" t="s">
        <v>640</v>
      </c>
      <c r="D356" s="7"/>
      <c r="E356" s="14">
        <v>4</v>
      </c>
      <c r="F356" s="8">
        <v>68</v>
      </c>
      <c r="G356" s="8"/>
      <c r="H356" s="8"/>
      <c r="I356" s="7"/>
      <c r="J356" s="7"/>
      <c r="K356" s="7"/>
      <c r="L356" s="3"/>
      <c r="N356" s="3"/>
    </row>
    <row r="357" spans="1:14" x14ac:dyDescent="0.25">
      <c r="A357" s="7">
        <v>356</v>
      </c>
      <c r="B357" s="8">
        <v>26218731</v>
      </c>
      <c r="C357" s="13" t="s">
        <v>199</v>
      </c>
      <c r="D357" s="7"/>
      <c r="E357" s="14">
        <v>4</v>
      </c>
      <c r="F357" s="8">
        <v>644</v>
      </c>
      <c r="G357" s="8"/>
      <c r="H357" s="8"/>
      <c r="I357" s="7"/>
      <c r="J357" s="7"/>
      <c r="K357" s="7"/>
      <c r="L357" s="3"/>
      <c r="N357" s="3"/>
    </row>
    <row r="358" spans="1:14" x14ac:dyDescent="0.25">
      <c r="A358" s="7">
        <v>357</v>
      </c>
      <c r="B358" s="8" t="s">
        <v>701</v>
      </c>
      <c r="C358" s="13" t="s">
        <v>423</v>
      </c>
      <c r="D358" s="7"/>
      <c r="E358" s="14">
        <v>4</v>
      </c>
      <c r="F358" s="8">
        <v>361</v>
      </c>
      <c r="G358" s="8"/>
      <c r="H358" s="8"/>
      <c r="I358" s="7"/>
      <c r="J358" s="7"/>
      <c r="K358" s="7"/>
      <c r="L358" s="3"/>
      <c r="N358" s="3"/>
    </row>
    <row r="359" spans="1:14" x14ac:dyDescent="0.25">
      <c r="A359" s="7">
        <v>358</v>
      </c>
      <c r="B359" s="8">
        <v>26218310</v>
      </c>
      <c r="C359" s="13" t="s">
        <v>344</v>
      </c>
      <c r="D359" s="7"/>
      <c r="E359" s="14">
        <v>4</v>
      </c>
      <c r="F359" s="8">
        <v>1951</v>
      </c>
      <c r="G359" s="8"/>
      <c r="H359" s="8"/>
      <c r="I359" s="7"/>
      <c r="J359" s="7"/>
      <c r="K359" s="7"/>
      <c r="L359" s="3"/>
      <c r="N359" s="3"/>
    </row>
    <row r="360" spans="1:14" x14ac:dyDescent="0.25">
      <c r="A360" s="7">
        <v>359</v>
      </c>
      <c r="B360" s="8">
        <v>26223103</v>
      </c>
      <c r="C360" s="13" t="s">
        <v>337</v>
      </c>
      <c r="D360" s="7"/>
      <c r="E360" s="14">
        <v>2</v>
      </c>
      <c r="F360" s="8">
        <v>1466</v>
      </c>
      <c r="G360" s="8"/>
      <c r="H360" s="8"/>
      <c r="I360" s="7"/>
      <c r="J360" s="7"/>
      <c r="K360" s="7"/>
      <c r="L360" s="3"/>
      <c r="N360" s="3"/>
    </row>
    <row r="361" spans="1:14" x14ac:dyDescent="0.25">
      <c r="A361" s="7">
        <v>360</v>
      </c>
      <c r="B361" s="8">
        <v>26242936</v>
      </c>
      <c r="C361" s="13" t="s">
        <v>258</v>
      </c>
      <c r="D361" s="7"/>
      <c r="E361" s="14">
        <v>4</v>
      </c>
      <c r="F361" s="8">
        <v>1938</v>
      </c>
      <c r="G361" s="8"/>
      <c r="H361" s="8"/>
      <c r="I361" s="7"/>
      <c r="J361" s="7"/>
      <c r="K361" s="7"/>
      <c r="L361" s="3"/>
      <c r="N361" s="3"/>
    </row>
    <row r="362" spans="1:14" x14ac:dyDescent="0.25">
      <c r="A362" s="7">
        <v>361</v>
      </c>
      <c r="B362" s="8">
        <v>26218218</v>
      </c>
      <c r="C362" s="13" t="s">
        <v>344</v>
      </c>
      <c r="D362" s="7"/>
      <c r="E362" s="14">
        <v>4</v>
      </c>
      <c r="F362" s="8">
        <v>1779</v>
      </c>
      <c r="G362" s="8"/>
      <c r="H362" s="8"/>
      <c r="I362" s="7"/>
      <c r="J362" s="7"/>
      <c r="K362" s="7"/>
      <c r="L362" s="3"/>
      <c r="N362" s="3"/>
    </row>
    <row r="363" spans="1:14" x14ac:dyDescent="0.25">
      <c r="A363" s="7">
        <v>362</v>
      </c>
      <c r="B363" s="8" t="s">
        <v>3712</v>
      </c>
      <c r="C363" s="14" t="s">
        <v>244</v>
      </c>
      <c r="D363" s="7"/>
      <c r="E363" s="7">
        <v>4</v>
      </c>
      <c r="F363" s="8">
        <v>43</v>
      </c>
      <c r="G363" s="8"/>
      <c r="H363" s="8"/>
      <c r="I363" s="7"/>
      <c r="J363" s="7"/>
      <c r="K363" s="7"/>
      <c r="L363" s="3"/>
      <c r="N363" s="3"/>
    </row>
    <row r="364" spans="1:14" x14ac:dyDescent="0.25">
      <c r="A364" s="7">
        <v>363</v>
      </c>
      <c r="B364" s="8">
        <v>26263953</v>
      </c>
      <c r="C364" s="13" t="s">
        <v>518</v>
      </c>
      <c r="D364" s="7"/>
      <c r="E364" s="7">
        <v>4</v>
      </c>
      <c r="F364" s="8">
        <v>554</v>
      </c>
      <c r="G364" s="8"/>
      <c r="H364" s="8"/>
      <c r="I364" s="7"/>
      <c r="J364" s="7"/>
      <c r="K364" s="7"/>
      <c r="L364" s="3"/>
      <c r="N364" s="3"/>
    </row>
    <row r="365" spans="1:14" x14ac:dyDescent="0.25">
      <c r="A365" s="7">
        <v>364</v>
      </c>
      <c r="B365" s="8">
        <v>26261422</v>
      </c>
      <c r="C365" s="13" t="s">
        <v>265</v>
      </c>
      <c r="D365" s="7"/>
      <c r="E365" s="7">
        <v>4</v>
      </c>
      <c r="F365" s="8">
        <v>2303</v>
      </c>
      <c r="G365" s="8"/>
      <c r="H365" s="8"/>
      <c r="I365" s="7"/>
      <c r="J365" s="7"/>
      <c r="K365" s="7"/>
      <c r="L365" s="3"/>
      <c r="N365" s="3"/>
    </row>
    <row r="366" spans="1:14" x14ac:dyDescent="0.25">
      <c r="A366" s="7">
        <v>365</v>
      </c>
      <c r="B366" s="8">
        <v>26021669</v>
      </c>
      <c r="C366" s="8" t="s">
        <v>3696</v>
      </c>
      <c r="D366" s="7"/>
      <c r="E366" s="7">
        <v>3</v>
      </c>
      <c r="F366" s="8">
        <v>6794</v>
      </c>
      <c r="G366" s="8"/>
      <c r="H366" s="8">
        <f>VLOOKUP(B366,'[1]HSN CODE  TAX RATE'!$A$1:$E$13821,5,0)</f>
        <v>28</v>
      </c>
      <c r="I366" s="7"/>
      <c r="J366" s="7"/>
      <c r="K366" s="8"/>
      <c r="L366" s="3"/>
      <c r="N366" s="3"/>
    </row>
    <row r="367" spans="1:14" x14ac:dyDescent="0.25">
      <c r="A367" s="7">
        <v>366</v>
      </c>
      <c r="B367" s="8">
        <v>26242763</v>
      </c>
      <c r="C367" s="13" t="s">
        <v>2739</v>
      </c>
      <c r="D367" s="7"/>
      <c r="E367" s="14">
        <v>5</v>
      </c>
      <c r="F367" s="8">
        <v>1086</v>
      </c>
      <c r="G367" s="8"/>
      <c r="H367" s="8">
        <f>VLOOKUP(B367,'[1]HSN CODE  TAX RATE'!$A$1:$E$13821,5,0)</f>
        <v>28</v>
      </c>
      <c r="I367" s="7"/>
      <c r="J367" s="7"/>
      <c r="K367" s="7"/>
      <c r="L367" s="3"/>
      <c r="N367" s="3"/>
    </row>
    <row r="368" spans="1:14" x14ac:dyDescent="0.25">
      <c r="A368" s="7">
        <v>367</v>
      </c>
      <c r="B368" s="8">
        <v>26215430</v>
      </c>
      <c r="C368" s="29" t="s">
        <v>248</v>
      </c>
      <c r="D368" s="7"/>
      <c r="E368" s="7">
        <v>4</v>
      </c>
      <c r="F368" s="8" t="s">
        <v>4540</v>
      </c>
      <c r="G368" s="8"/>
      <c r="H368" s="8">
        <f>VLOOKUP(B368,'[1]HSN CODE  TAX RATE'!$A$1:$E$13821,5,0)</f>
        <v>28</v>
      </c>
      <c r="I368" s="7"/>
      <c r="J368" s="7"/>
      <c r="K368" s="8"/>
      <c r="L368" s="3"/>
      <c r="N368" s="3"/>
    </row>
    <row r="369" spans="1:14" x14ac:dyDescent="0.25">
      <c r="A369" s="7">
        <v>368</v>
      </c>
      <c r="B369" s="8">
        <v>26245155</v>
      </c>
      <c r="C369" s="8" t="s">
        <v>835</v>
      </c>
      <c r="D369" s="7"/>
      <c r="E369" s="7">
        <v>5</v>
      </c>
      <c r="F369" s="8">
        <v>2272</v>
      </c>
      <c r="G369" s="8"/>
      <c r="H369" s="8">
        <f>VLOOKUP(B369,'[1]HSN CODE  TAX RATE'!$A$1:$E$13821,5,0)</f>
        <v>28</v>
      </c>
      <c r="I369" s="7"/>
      <c r="J369" s="7"/>
      <c r="K369" s="8"/>
      <c r="L369" s="3"/>
      <c r="N369" s="3"/>
    </row>
    <row r="370" spans="1:14" x14ac:dyDescent="0.25">
      <c r="A370" s="7">
        <v>369</v>
      </c>
      <c r="B370" s="8" t="s">
        <v>13</v>
      </c>
      <c r="C370" s="8" t="s">
        <v>269</v>
      </c>
      <c r="D370" s="7"/>
      <c r="E370" s="7">
        <v>5</v>
      </c>
      <c r="F370" s="8">
        <v>1567</v>
      </c>
      <c r="G370" s="8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 x14ac:dyDescent="0.25">
      <c r="A371" s="7">
        <v>370</v>
      </c>
      <c r="B371" s="8" t="s">
        <v>238</v>
      </c>
      <c r="C371" s="8" t="s">
        <v>169</v>
      </c>
      <c r="D371" s="7"/>
      <c r="E371" s="7">
        <v>5</v>
      </c>
      <c r="F371" s="8">
        <v>518</v>
      </c>
      <c r="G371" s="8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 x14ac:dyDescent="0.25">
      <c r="A372" s="7">
        <v>371</v>
      </c>
      <c r="B372" s="8">
        <v>26248662</v>
      </c>
      <c r="C372" s="13" t="s">
        <v>519</v>
      </c>
      <c r="D372" s="7"/>
      <c r="E372" s="14">
        <v>5</v>
      </c>
      <c r="F372" s="8">
        <v>1512</v>
      </c>
      <c r="G372" s="8"/>
      <c r="H372" s="8">
        <f>VLOOKUP(B372,'[1]HSN CODE  TAX RATE'!$A$1:$E$13821,5,0)</f>
        <v>28</v>
      </c>
      <c r="I372" s="7"/>
      <c r="J372" s="7"/>
      <c r="K372" s="7"/>
      <c r="L372" s="3"/>
      <c r="N372" s="3"/>
    </row>
    <row r="373" spans="1:14" x14ac:dyDescent="0.25">
      <c r="A373" s="7">
        <v>372</v>
      </c>
      <c r="B373" s="8">
        <v>26247161</v>
      </c>
      <c r="C373" s="13" t="s">
        <v>587</v>
      </c>
      <c r="D373" s="7"/>
      <c r="E373" s="14">
        <v>5</v>
      </c>
      <c r="F373" s="8">
        <v>148</v>
      </c>
      <c r="G373" s="8"/>
      <c r="H373" s="8"/>
      <c r="I373" s="7"/>
      <c r="J373" s="7"/>
      <c r="K373" s="7"/>
      <c r="L373" s="3"/>
      <c r="N373" s="3"/>
    </row>
    <row r="374" spans="1:14" x14ac:dyDescent="0.25">
      <c r="A374" s="7">
        <v>373</v>
      </c>
      <c r="B374" s="8">
        <v>26711698</v>
      </c>
      <c r="C374" s="13" t="s">
        <v>1675</v>
      </c>
      <c r="D374" s="7"/>
      <c r="E374" s="14">
        <v>5</v>
      </c>
      <c r="F374" s="8">
        <v>693</v>
      </c>
      <c r="G374" s="8"/>
      <c r="H374" s="8"/>
      <c r="I374" s="7"/>
      <c r="J374" s="7"/>
      <c r="K374" s="7"/>
      <c r="L374" s="3"/>
      <c r="N374" s="3"/>
    </row>
    <row r="375" spans="1:14" x14ac:dyDescent="0.25">
      <c r="A375" s="7">
        <v>374</v>
      </c>
      <c r="B375" s="8">
        <v>26220656</v>
      </c>
      <c r="C375" s="13" t="s">
        <v>2985</v>
      </c>
      <c r="D375" s="7"/>
      <c r="E375" s="14">
        <v>5</v>
      </c>
      <c r="F375" s="8">
        <v>1038</v>
      </c>
      <c r="G375" s="8"/>
      <c r="H375" s="8"/>
      <c r="I375" s="7"/>
      <c r="J375" s="7"/>
      <c r="K375" s="7"/>
      <c r="N375" s="3"/>
    </row>
    <row r="376" spans="1:14" x14ac:dyDescent="0.25">
      <c r="A376" s="7">
        <v>375</v>
      </c>
      <c r="B376" s="8">
        <v>26261113</v>
      </c>
      <c r="C376" s="29" t="s">
        <v>260</v>
      </c>
      <c r="D376" s="7"/>
      <c r="E376" s="7">
        <v>5</v>
      </c>
      <c r="F376" s="8" t="s">
        <v>4541</v>
      </c>
      <c r="G376" s="8"/>
      <c r="H376" s="8"/>
      <c r="I376" s="7"/>
      <c r="J376" s="7"/>
      <c r="K376" s="7"/>
      <c r="N376" s="3"/>
    </row>
    <row r="377" spans="1:14" x14ac:dyDescent="0.25">
      <c r="A377" s="7">
        <v>376</v>
      </c>
      <c r="B377" s="8">
        <v>26240790</v>
      </c>
      <c r="C377" s="8" t="s">
        <v>211</v>
      </c>
      <c r="D377" s="7"/>
      <c r="E377" s="7">
        <v>6</v>
      </c>
      <c r="F377" s="8" t="s">
        <v>4008</v>
      </c>
      <c r="G377" s="8"/>
      <c r="H377" s="8">
        <f>VLOOKUP(B377,'[1]HSN CODE  TAX RATE'!$A$1:$E$13821,5,0)</f>
        <v>28</v>
      </c>
      <c r="I377" s="7"/>
      <c r="J377" s="7"/>
      <c r="K377" s="8"/>
      <c r="N377" s="3"/>
    </row>
    <row r="378" spans="1:14" s="3" customFormat="1" x14ac:dyDescent="0.25">
      <c r="A378" s="7">
        <v>377</v>
      </c>
      <c r="B378" s="8">
        <v>26244149</v>
      </c>
      <c r="C378" s="100" t="s">
        <v>1602</v>
      </c>
      <c r="D378" s="7"/>
      <c r="E378" s="7">
        <v>6</v>
      </c>
      <c r="F378" s="8">
        <v>315</v>
      </c>
      <c r="G378" s="8"/>
      <c r="H378" s="8">
        <f>VLOOKUP(B378,'[1]HSN CODE  TAX RATE'!$A$1:$E$13821,5,0)</f>
        <v>28</v>
      </c>
      <c r="I378" s="7"/>
      <c r="J378" s="7"/>
      <c r="K378" s="8">
        <v>2</v>
      </c>
    </row>
    <row r="379" spans="1:14" x14ac:dyDescent="0.25">
      <c r="A379" s="7">
        <v>378</v>
      </c>
      <c r="B379" s="8">
        <v>26024332</v>
      </c>
      <c r="C379" s="8" t="s">
        <v>116</v>
      </c>
      <c r="D379" s="7"/>
      <c r="E379" s="7">
        <v>6</v>
      </c>
      <c r="F379" s="8">
        <v>91</v>
      </c>
      <c r="G379" s="8"/>
      <c r="H379" s="8">
        <f>VLOOKUP(B379,'[1]HSN CODE  TAX RATE'!$A$1:$E$13821,5,0)</f>
        <v>28</v>
      </c>
      <c r="I379" s="7"/>
      <c r="J379" s="7"/>
      <c r="K379" s="8"/>
      <c r="N379" s="3"/>
    </row>
    <row r="380" spans="1:14" x14ac:dyDescent="0.25">
      <c r="A380" s="7">
        <v>379</v>
      </c>
      <c r="B380" s="8">
        <v>70050208</v>
      </c>
      <c r="C380" s="13" t="s">
        <v>419</v>
      </c>
      <c r="D380" s="7"/>
      <c r="E380" s="14">
        <v>6</v>
      </c>
      <c r="F380" s="8">
        <v>625</v>
      </c>
      <c r="G380" s="8"/>
      <c r="H380" s="8">
        <f>VLOOKUP(B380,'[1]HSN CODE  TAX RATE'!$A$1:$E$13821,5,0)</f>
        <v>28</v>
      </c>
      <c r="I380" s="7"/>
      <c r="J380" s="7"/>
      <c r="K380" s="7"/>
      <c r="N380" s="3"/>
    </row>
    <row r="381" spans="1:14" x14ac:dyDescent="0.25">
      <c r="A381" s="7">
        <v>380</v>
      </c>
      <c r="B381" s="8">
        <v>26211704</v>
      </c>
      <c r="C381" s="8" t="s">
        <v>803</v>
      </c>
      <c r="D381" s="7"/>
      <c r="E381" s="7">
        <v>6</v>
      </c>
      <c r="F381" s="8">
        <v>554</v>
      </c>
      <c r="G381" s="8"/>
      <c r="H381" s="8">
        <f>VLOOKUP(B381,'[1]HSN CODE  TAX RATE'!$A$1:$E$13821,5,0)</f>
        <v>28</v>
      </c>
      <c r="I381" s="7"/>
      <c r="J381" s="7"/>
      <c r="K381" s="8"/>
      <c r="N381" s="3"/>
    </row>
    <row r="382" spans="1:14" x14ac:dyDescent="0.25">
      <c r="A382" s="7">
        <v>381</v>
      </c>
      <c r="B382" s="13">
        <v>26249043</v>
      </c>
      <c r="C382" s="13" t="s">
        <v>239</v>
      </c>
      <c r="D382" s="7"/>
      <c r="E382" s="14">
        <v>6</v>
      </c>
      <c r="F382" s="8">
        <v>1193</v>
      </c>
      <c r="G382" s="8"/>
      <c r="H382" s="8">
        <f>VLOOKUP(B382,'[1]HSN CODE  TAX RATE'!$A$1:$E$13821,5,0)</f>
        <v>28</v>
      </c>
      <c r="I382" s="13"/>
      <c r="J382" s="7"/>
      <c r="K382" s="7"/>
      <c r="N382" s="3"/>
    </row>
    <row r="383" spans="1:14" x14ac:dyDescent="0.25">
      <c r="A383" s="7">
        <v>382</v>
      </c>
      <c r="B383" s="8">
        <v>26214364</v>
      </c>
      <c r="C383" s="13" t="s">
        <v>89</v>
      </c>
      <c r="D383" s="7"/>
      <c r="E383" s="14">
        <v>6</v>
      </c>
      <c r="F383" s="8">
        <v>1224</v>
      </c>
      <c r="G383" s="8"/>
      <c r="H383" s="8">
        <f>VLOOKUP(B383,'[1]HSN CODE  TAX RATE'!$A$1:$E$13821,5,0)</f>
        <v>28</v>
      </c>
      <c r="I383" s="7"/>
      <c r="J383" s="7"/>
      <c r="K383" s="7"/>
      <c r="N383" s="3"/>
    </row>
    <row r="384" spans="1:14" x14ac:dyDescent="0.25">
      <c r="A384" s="7">
        <v>383</v>
      </c>
      <c r="B384" s="8">
        <v>26071041</v>
      </c>
      <c r="C384" s="13" t="s">
        <v>3644</v>
      </c>
      <c r="D384" s="7"/>
      <c r="E384" s="14">
        <v>6</v>
      </c>
      <c r="F384" s="8">
        <v>1608</v>
      </c>
      <c r="G384" s="8"/>
      <c r="H384" s="8"/>
      <c r="I384" s="7"/>
      <c r="J384" s="7"/>
      <c r="K384" s="7"/>
      <c r="N384" s="3"/>
    </row>
    <row r="385" spans="1:14" x14ac:dyDescent="0.25">
      <c r="A385" s="7">
        <v>384</v>
      </c>
      <c r="B385" s="8">
        <v>26244992</v>
      </c>
      <c r="C385" s="13" t="s">
        <v>3448</v>
      </c>
      <c r="D385" s="7"/>
      <c r="E385" s="14">
        <v>6</v>
      </c>
      <c r="F385" s="8">
        <v>806</v>
      </c>
      <c r="G385" s="8"/>
      <c r="H385" s="8"/>
      <c r="I385" s="7"/>
      <c r="J385" s="7"/>
      <c r="K385" s="7"/>
      <c r="N385" s="3"/>
    </row>
    <row r="386" spans="1:14" x14ac:dyDescent="0.25">
      <c r="A386" s="7">
        <v>385</v>
      </c>
      <c r="B386" s="8">
        <v>26258562</v>
      </c>
      <c r="C386" s="13" t="s">
        <v>261</v>
      </c>
      <c r="D386" s="7"/>
      <c r="E386" s="14">
        <v>7</v>
      </c>
      <c r="F386" s="8">
        <v>698</v>
      </c>
      <c r="G386" s="8"/>
      <c r="H386" s="8">
        <f>VLOOKUP(B386,'[1]HSN CODE  TAX RATE'!$A$1:$E$13821,5,0)</f>
        <v>28</v>
      </c>
      <c r="I386" s="7"/>
      <c r="J386" s="7"/>
      <c r="K386" s="7"/>
      <c r="N386" s="3"/>
    </row>
    <row r="387" spans="1:14" x14ac:dyDescent="0.25">
      <c r="A387" s="7">
        <v>386</v>
      </c>
      <c r="B387" s="8">
        <v>26243222</v>
      </c>
      <c r="C387" s="8" t="s">
        <v>117</v>
      </c>
      <c r="D387" s="7"/>
      <c r="E387" s="7">
        <v>7</v>
      </c>
      <c r="F387" s="8">
        <v>218</v>
      </c>
      <c r="G387" s="8"/>
      <c r="H387" s="8">
        <f>VLOOKUP(B387,'[1]HSN CODE  TAX RATE'!$A$1:$E$13821,5,0)</f>
        <v>28</v>
      </c>
      <c r="I387" s="7"/>
      <c r="J387" s="7"/>
      <c r="K387" s="8"/>
      <c r="N387" s="3"/>
    </row>
    <row r="388" spans="1:14" x14ac:dyDescent="0.25">
      <c r="A388" s="7">
        <v>387</v>
      </c>
      <c r="B388" s="8">
        <v>26260096</v>
      </c>
      <c r="C388" s="13" t="s">
        <v>518</v>
      </c>
      <c r="D388" s="7"/>
      <c r="E388" s="14">
        <v>7</v>
      </c>
      <c r="F388" s="8">
        <v>690</v>
      </c>
      <c r="G388" s="8"/>
      <c r="H388" s="8">
        <f>VLOOKUP(B388,'[1]HSN CODE  TAX RATE'!$A$1:$E$13821,5,0)</f>
        <v>28</v>
      </c>
      <c r="I388" s="7"/>
      <c r="J388" s="7"/>
      <c r="K388" s="7"/>
      <c r="N388" s="3"/>
    </row>
    <row r="389" spans="1:14" x14ac:dyDescent="0.25">
      <c r="A389" s="7">
        <v>388</v>
      </c>
      <c r="B389" s="8">
        <v>26241638</v>
      </c>
      <c r="C389" s="8" t="s">
        <v>1603</v>
      </c>
      <c r="D389" s="7"/>
      <c r="E389" s="7">
        <v>7</v>
      </c>
      <c r="F389" s="8">
        <v>923</v>
      </c>
      <c r="G389" s="8"/>
      <c r="H389" s="8">
        <f>VLOOKUP(B389,'[1]HSN CODE  TAX RATE'!$A$1:$E$13821,5,0)</f>
        <v>28</v>
      </c>
      <c r="I389" s="7"/>
      <c r="J389" s="7"/>
      <c r="K389" s="8">
        <v>2</v>
      </c>
      <c r="N389" s="3"/>
    </row>
    <row r="390" spans="1:14" x14ac:dyDescent="0.25">
      <c r="A390" s="7">
        <v>389</v>
      </c>
      <c r="B390" s="8">
        <v>26412860</v>
      </c>
      <c r="C390" s="13" t="s">
        <v>531</v>
      </c>
      <c r="D390" s="7"/>
      <c r="E390" s="14">
        <v>7</v>
      </c>
      <c r="F390" s="8">
        <v>349</v>
      </c>
      <c r="G390" s="8"/>
      <c r="H390" s="8"/>
      <c r="I390" s="7"/>
      <c r="J390" s="7"/>
      <c r="K390" s="7"/>
      <c r="N390" s="3"/>
    </row>
    <row r="391" spans="1:14" x14ac:dyDescent="0.25">
      <c r="A391" s="7">
        <v>390</v>
      </c>
      <c r="B391" s="8">
        <v>26218968</v>
      </c>
      <c r="C391" s="13" t="s">
        <v>337</v>
      </c>
      <c r="D391" s="7"/>
      <c r="E391" s="14">
        <v>7</v>
      </c>
      <c r="F391" s="8" t="s">
        <v>4422</v>
      </c>
      <c r="G391" s="8"/>
      <c r="H391" s="8"/>
      <c r="I391" s="7"/>
      <c r="J391" s="7"/>
      <c r="K391" s="7"/>
      <c r="N391" s="3"/>
    </row>
    <row r="392" spans="1:14" x14ac:dyDescent="0.25">
      <c r="A392" s="7">
        <v>391</v>
      </c>
      <c r="B392" s="8" t="s">
        <v>20</v>
      </c>
      <c r="C392" s="8" t="s">
        <v>705</v>
      </c>
      <c r="D392" s="7"/>
      <c r="E392" s="7">
        <v>8</v>
      </c>
      <c r="F392" s="8">
        <v>925</v>
      </c>
      <c r="G392" s="8"/>
      <c r="H392" s="8">
        <f>VLOOKUP(B392,'[1]HSN CODE  TAX RATE'!$A$1:$E$13821,5,0)</f>
        <v>28</v>
      </c>
      <c r="I392" s="7"/>
      <c r="J392" s="7"/>
      <c r="K392" s="8"/>
      <c r="N392" s="3"/>
    </row>
    <row r="393" spans="1:14" x14ac:dyDescent="0.25">
      <c r="A393" s="7">
        <v>392</v>
      </c>
      <c r="B393" s="8" t="s">
        <v>186</v>
      </c>
      <c r="C393" s="8" t="s">
        <v>175</v>
      </c>
      <c r="D393" s="7"/>
      <c r="E393" s="7">
        <v>8</v>
      </c>
      <c r="F393" s="8">
        <v>1571</v>
      </c>
      <c r="G393" s="8"/>
      <c r="H393" s="8">
        <f>VLOOKUP(B393,'[1]HSN CODE  TAX RATE'!$A$1:$E$13821,5,0)</f>
        <v>28</v>
      </c>
      <c r="I393" s="7"/>
      <c r="J393" s="7"/>
      <c r="K393" s="8"/>
      <c r="N393" s="3"/>
    </row>
    <row r="394" spans="1:14" x14ac:dyDescent="0.25">
      <c r="A394" s="7">
        <v>393</v>
      </c>
      <c r="B394" s="8">
        <v>26215168</v>
      </c>
      <c r="C394" s="29" t="s">
        <v>3983</v>
      </c>
      <c r="D394" s="7"/>
      <c r="E394" s="7">
        <v>8</v>
      </c>
      <c r="F394" s="8" t="s">
        <v>4539</v>
      </c>
      <c r="G394" s="8"/>
      <c r="H394" s="8">
        <f>VLOOKUP(B394,'[1]HSN CODE  TAX RATE'!$A$1:$E$13821,5,0)</f>
        <v>28</v>
      </c>
      <c r="I394" s="7"/>
      <c r="J394" s="7"/>
      <c r="K394" s="8"/>
      <c r="N394" s="3"/>
    </row>
    <row r="395" spans="1:14" x14ac:dyDescent="0.25">
      <c r="A395" s="7">
        <v>394</v>
      </c>
      <c r="B395" s="8">
        <v>26021668</v>
      </c>
      <c r="C395" s="8" t="s">
        <v>1431</v>
      </c>
      <c r="D395" s="7"/>
      <c r="E395" s="7">
        <v>7</v>
      </c>
      <c r="F395" s="8" t="s">
        <v>4593</v>
      </c>
      <c r="G395" s="8"/>
      <c r="H395" s="8">
        <f>VLOOKUP(B395,'[1]HSN CODE  TAX RATE'!$A$1:$E$13821,5,0)</f>
        <v>28</v>
      </c>
      <c r="I395" s="13"/>
      <c r="J395" s="13"/>
      <c r="K395" s="8"/>
      <c r="N395" s="3"/>
    </row>
    <row r="396" spans="1:14" x14ac:dyDescent="0.25">
      <c r="A396" s="7">
        <v>395</v>
      </c>
      <c r="B396" s="8">
        <v>26247141</v>
      </c>
      <c r="C396" s="8" t="s">
        <v>2014</v>
      </c>
      <c r="D396" s="7"/>
      <c r="E396" s="7">
        <v>8</v>
      </c>
      <c r="F396" s="8">
        <v>1713</v>
      </c>
      <c r="G396" s="8"/>
      <c r="H396" s="8">
        <f>VLOOKUP(B396,'[1]HSN CODE  TAX RATE'!$A$1:$E$13821,5,0)</f>
        <v>28</v>
      </c>
      <c r="I396" s="13"/>
      <c r="J396" s="13"/>
      <c r="K396" s="8"/>
      <c r="N396" s="3"/>
    </row>
    <row r="397" spans="1:14" x14ac:dyDescent="0.25">
      <c r="A397" s="7">
        <v>396</v>
      </c>
      <c r="B397" s="8">
        <v>26216033</v>
      </c>
      <c r="C397" s="36" t="s">
        <v>1445</v>
      </c>
      <c r="D397" s="7"/>
      <c r="E397" s="7">
        <v>8</v>
      </c>
      <c r="F397" s="8">
        <v>1066</v>
      </c>
      <c r="G397" s="8"/>
      <c r="H397" s="8">
        <f>VLOOKUP(B397,'[1]HSN CODE  TAX RATE'!$A$1:$E$13821,5,0)</f>
        <v>28</v>
      </c>
      <c r="I397" s="13"/>
      <c r="J397" s="13"/>
      <c r="K397" s="8"/>
      <c r="N397" s="3"/>
    </row>
    <row r="398" spans="1:14" x14ac:dyDescent="0.25">
      <c r="A398" s="7">
        <v>397</v>
      </c>
      <c r="B398" s="8">
        <v>26253668</v>
      </c>
      <c r="C398" s="8" t="s">
        <v>250</v>
      </c>
      <c r="D398" s="7"/>
      <c r="E398" s="7">
        <v>8</v>
      </c>
      <c r="F398" s="8">
        <v>375</v>
      </c>
      <c r="G398" s="8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 x14ac:dyDescent="0.25">
      <c r="A399" s="7">
        <v>398</v>
      </c>
      <c r="B399" s="8" t="s">
        <v>28</v>
      </c>
      <c r="C399" s="8" t="s">
        <v>271</v>
      </c>
      <c r="D399" s="7"/>
      <c r="E399" s="7">
        <v>8</v>
      </c>
      <c r="F399" s="8">
        <v>437</v>
      </c>
      <c r="G399" s="8"/>
      <c r="H399" s="8">
        <f>VLOOKUP(B399,'[1]HSN CODE  TAX RATE'!$A$1:$E$13821,5,0)</f>
        <v>18</v>
      </c>
      <c r="I399" s="7"/>
      <c r="J399" s="7"/>
      <c r="K399" s="8">
        <v>4</v>
      </c>
      <c r="N399" s="3"/>
    </row>
    <row r="400" spans="1:14" x14ac:dyDescent="0.25">
      <c r="A400" s="7">
        <v>399</v>
      </c>
      <c r="B400" s="8">
        <v>26248657</v>
      </c>
      <c r="C400" s="8" t="s">
        <v>152</v>
      </c>
      <c r="D400" s="7"/>
      <c r="E400" s="7">
        <v>8</v>
      </c>
      <c r="F400" s="8">
        <v>581</v>
      </c>
      <c r="G400" s="8"/>
      <c r="H400" s="8">
        <f>VLOOKUP(B400,'[1]HSN CODE  TAX RATE'!$A$1:$E$13821,5,0)</f>
        <v>28</v>
      </c>
      <c r="I400" s="7"/>
      <c r="J400" s="7"/>
      <c r="K400" s="8"/>
      <c r="N400" s="3"/>
    </row>
    <row r="401" spans="1:14" x14ac:dyDescent="0.25">
      <c r="A401" s="7">
        <v>400</v>
      </c>
      <c r="B401" s="8">
        <v>26244646</v>
      </c>
      <c r="C401" s="8" t="s">
        <v>116</v>
      </c>
      <c r="D401" s="7"/>
      <c r="E401" s="7">
        <v>8</v>
      </c>
      <c r="F401" s="8">
        <v>38</v>
      </c>
      <c r="G401" s="8"/>
      <c r="H401" s="8">
        <f>VLOOKUP(B401,'[1]HSN CODE  TAX RATE'!$A$1:$E$13821,5,0)</f>
        <v>28</v>
      </c>
      <c r="I401" s="7"/>
      <c r="J401" s="7"/>
      <c r="K401" s="8"/>
      <c r="N401" s="3"/>
    </row>
    <row r="402" spans="1:14" x14ac:dyDescent="0.25">
      <c r="A402" s="7">
        <v>401</v>
      </c>
      <c r="B402" s="19" t="s">
        <v>27</v>
      </c>
      <c r="C402" s="28" t="s">
        <v>809</v>
      </c>
      <c r="D402" s="7"/>
      <c r="E402" s="101">
        <v>8</v>
      </c>
      <c r="F402" s="19">
        <v>1919</v>
      </c>
      <c r="G402" s="19"/>
      <c r="H402" s="8">
        <f>VLOOKUP(B402,'[1]HSN CODE  TAX RATE'!$A$1:$E$13821,5,0)</f>
        <v>28</v>
      </c>
      <c r="I402" s="7"/>
      <c r="J402" s="7"/>
      <c r="K402" s="7"/>
      <c r="N402" s="3"/>
    </row>
    <row r="403" spans="1:14" x14ac:dyDescent="0.25">
      <c r="A403" s="7">
        <v>402</v>
      </c>
      <c r="B403" s="8">
        <v>26218989</v>
      </c>
      <c r="C403" s="29" t="s">
        <v>741</v>
      </c>
      <c r="D403" s="7"/>
      <c r="E403" s="7">
        <v>8</v>
      </c>
      <c r="F403" s="8">
        <v>665</v>
      </c>
      <c r="G403" s="8"/>
      <c r="H403" s="8">
        <f>VLOOKUP(B403,'[1]HSN CODE  TAX RATE'!$A$1:$E$13821,5,0)</f>
        <v>28</v>
      </c>
      <c r="I403" s="7"/>
      <c r="J403" s="7"/>
      <c r="K403" s="8"/>
      <c r="N403" s="3"/>
    </row>
    <row r="404" spans="1:14" x14ac:dyDescent="0.25">
      <c r="A404" s="7">
        <v>403</v>
      </c>
      <c r="B404" s="8">
        <v>26215780</v>
      </c>
      <c r="C404" s="36" t="s">
        <v>1236</v>
      </c>
      <c r="D404" s="7"/>
      <c r="E404" s="7">
        <v>9</v>
      </c>
      <c r="F404" s="8">
        <v>1030</v>
      </c>
      <c r="G404" s="8"/>
      <c r="H404" s="8">
        <f>VLOOKUP(B404,'[1]HSN CODE  TAX RATE'!$A$1:$E$13821,5,0)</f>
        <v>28</v>
      </c>
      <c r="I404" s="7"/>
      <c r="J404" s="7"/>
      <c r="K404" s="8"/>
      <c r="N404" s="3"/>
    </row>
    <row r="405" spans="1:14" x14ac:dyDescent="0.25">
      <c r="A405" s="7">
        <v>404</v>
      </c>
      <c r="B405" s="8">
        <v>26218220</v>
      </c>
      <c r="C405" s="8" t="s">
        <v>248</v>
      </c>
      <c r="D405" s="7"/>
      <c r="E405" s="7">
        <v>9</v>
      </c>
      <c r="F405" s="8">
        <v>1054</v>
      </c>
      <c r="G405" s="8"/>
      <c r="H405" s="8">
        <f>VLOOKUP(B405,'[1]HSN CODE  TAX RATE'!$A$1:$E$13821,5,0)</f>
        <v>28</v>
      </c>
      <c r="I405" s="7"/>
      <c r="J405" s="7"/>
      <c r="K405" s="8"/>
    </row>
    <row r="406" spans="1:14" x14ac:dyDescent="0.25">
      <c r="A406" s="7">
        <v>405</v>
      </c>
      <c r="B406" s="8">
        <v>26216400</v>
      </c>
      <c r="C406" s="8" t="s">
        <v>6</v>
      </c>
      <c r="D406" s="7"/>
      <c r="E406" s="7">
        <v>9</v>
      </c>
      <c r="F406" s="8">
        <v>1160</v>
      </c>
      <c r="G406" s="8"/>
      <c r="H406" s="8">
        <f>VLOOKUP(B406,'[1]HSN CODE  TAX RATE'!$A$1:$E$13821,5,0)</f>
        <v>28</v>
      </c>
      <c r="I406" s="7"/>
      <c r="J406" s="7"/>
      <c r="K406" s="8"/>
    </row>
    <row r="407" spans="1:14" x14ac:dyDescent="0.25">
      <c r="A407" s="7">
        <v>406</v>
      </c>
      <c r="B407" s="8">
        <v>26247140</v>
      </c>
      <c r="C407" s="8" t="s">
        <v>2013</v>
      </c>
      <c r="D407" s="7"/>
      <c r="E407" s="7">
        <v>10</v>
      </c>
      <c r="F407" s="8" t="s">
        <v>4258</v>
      </c>
      <c r="G407" s="8"/>
      <c r="H407" s="8">
        <f>VLOOKUP(B407,'[1]HSN CODE  TAX RATE'!$A$1:$E$13821,5,0)</f>
        <v>28</v>
      </c>
      <c r="I407" s="7"/>
      <c r="J407" s="7"/>
      <c r="K407" s="8"/>
    </row>
    <row r="408" spans="1:14" x14ac:dyDescent="0.25">
      <c r="A408" s="7">
        <v>407</v>
      </c>
      <c r="B408" s="8" t="s">
        <v>19</v>
      </c>
      <c r="C408" s="8" t="s">
        <v>1228</v>
      </c>
      <c r="D408" s="7"/>
      <c r="E408" s="7">
        <v>9</v>
      </c>
      <c r="F408" s="8">
        <v>410</v>
      </c>
      <c r="G408" s="8"/>
      <c r="H408" s="8">
        <f>VLOOKUP(B408,'[1]HSN CODE  TAX RATE'!$A$1:$E$13821,5,0)</f>
        <v>28</v>
      </c>
      <c r="I408" s="7"/>
      <c r="J408" s="7"/>
      <c r="K408" s="8"/>
    </row>
    <row r="409" spans="1:14" x14ac:dyDescent="0.25">
      <c r="A409" s="7">
        <v>408</v>
      </c>
      <c r="B409" s="8">
        <v>26240792</v>
      </c>
      <c r="C409" s="8" t="s">
        <v>1437</v>
      </c>
      <c r="D409" s="7"/>
      <c r="E409" s="7">
        <v>8</v>
      </c>
      <c r="F409" s="8">
        <v>2521</v>
      </c>
      <c r="G409" s="8"/>
      <c r="H409" s="8">
        <f>VLOOKUP(B409,'[1]HSN CODE  TAX RATE'!$A$1:$E$13821,5,0)</f>
        <v>28</v>
      </c>
      <c r="I409" s="7"/>
      <c r="J409" s="7"/>
      <c r="K409" s="8"/>
    </row>
    <row r="410" spans="1:14" x14ac:dyDescent="0.25">
      <c r="A410" s="7">
        <v>409</v>
      </c>
      <c r="B410" s="8">
        <v>26711783</v>
      </c>
      <c r="C410" s="13" t="s">
        <v>467</v>
      </c>
      <c r="D410" s="7"/>
      <c r="E410" s="14">
        <v>10</v>
      </c>
      <c r="F410" s="8">
        <v>155</v>
      </c>
      <c r="G410" s="8"/>
      <c r="H410" s="8">
        <f>VLOOKUP(B410,'[1]HSN CODE  TAX RATE'!$A$1:$E$13821,5,0)</f>
        <v>18</v>
      </c>
      <c r="I410" s="7"/>
      <c r="J410" s="7"/>
      <c r="K410" s="7"/>
    </row>
    <row r="411" spans="1:14" x14ac:dyDescent="0.25">
      <c r="A411" s="7">
        <v>410</v>
      </c>
      <c r="B411" s="8">
        <v>26219210</v>
      </c>
      <c r="C411" s="13" t="s">
        <v>1807</v>
      </c>
      <c r="D411" s="7"/>
      <c r="E411" s="14">
        <v>10</v>
      </c>
      <c r="F411" s="8">
        <v>737</v>
      </c>
      <c r="G411" s="8"/>
      <c r="H411" s="8"/>
      <c r="I411" s="7"/>
      <c r="J411" s="7"/>
      <c r="K411" s="7"/>
    </row>
    <row r="412" spans="1:14" x14ac:dyDescent="0.25">
      <c r="A412" s="7">
        <v>411</v>
      </c>
      <c r="B412" s="8">
        <v>26258634</v>
      </c>
      <c r="C412" s="13" t="s">
        <v>273</v>
      </c>
      <c r="D412" s="7"/>
      <c r="E412" s="14">
        <v>10</v>
      </c>
      <c r="F412" s="8">
        <v>90</v>
      </c>
      <c r="G412" s="8"/>
      <c r="H412" s="8"/>
      <c r="I412" s="7"/>
      <c r="J412" s="7"/>
      <c r="K412" s="7"/>
    </row>
    <row r="413" spans="1:14" x14ac:dyDescent="0.25">
      <c r="A413" s="7">
        <v>412</v>
      </c>
      <c r="B413" s="8">
        <v>26021467</v>
      </c>
      <c r="C413" s="14" t="s">
        <v>636</v>
      </c>
      <c r="D413" s="7"/>
      <c r="E413" s="7">
        <v>10</v>
      </c>
      <c r="F413" s="8">
        <v>3912</v>
      </c>
      <c r="G413" s="8"/>
      <c r="H413" s="8"/>
      <c r="I413" s="7"/>
      <c r="J413" s="7"/>
      <c r="K413" s="7"/>
    </row>
    <row r="414" spans="1:14" x14ac:dyDescent="0.25">
      <c r="A414" s="7">
        <v>413</v>
      </c>
      <c r="B414" s="8">
        <v>26245186</v>
      </c>
      <c r="C414" s="8" t="s">
        <v>834</v>
      </c>
      <c r="D414" s="7"/>
      <c r="E414" s="7">
        <v>11</v>
      </c>
      <c r="F414" s="8">
        <v>2071</v>
      </c>
      <c r="G414" s="8"/>
      <c r="H414" s="8">
        <f>VLOOKUP(B414,'[1]HSN CODE  TAX RATE'!$A$1:$E$13821,5,0)</f>
        <v>28</v>
      </c>
      <c r="I414" s="7"/>
      <c r="J414" s="7"/>
      <c r="K414" s="8"/>
    </row>
    <row r="415" spans="1:14" x14ac:dyDescent="0.25">
      <c r="A415" s="7">
        <v>414</v>
      </c>
      <c r="B415" s="8" t="s">
        <v>17</v>
      </c>
      <c r="C415" s="8" t="s">
        <v>270</v>
      </c>
      <c r="D415" s="7"/>
      <c r="E415" s="7">
        <v>11</v>
      </c>
      <c r="F415" s="8">
        <v>582</v>
      </c>
      <c r="G415" s="8"/>
      <c r="H415" s="8">
        <f>VLOOKUP(B415,'[1]HSN CODE  TAX RATE'!$A$1:$E$13821,5,0)</f>
        <v>18</v>
      </c>
      <c r="I415" s="7"/>
      <c r="J415" s="7"/>
      <c r="K415" s="8"/>
    </row>
    <row r="416" spans="1:14" x14ac:dyDescent="0.25">
      <c r="A416" s="7">
        <v>415</v>
      </c>
      <c r="B416" s="8" t="s">
        <v>18</v>
      </c>
      <c r="C416" s="8" t="s">
        <v>802</v>
      </c>
      <c r="D416" s="7"/>
      <c r="E416" s="7">
        <v>11</v>
      </c>
      <c r="F416" s="8">
        <v>981</v>
      </c>
      <c r="G416" s="8"/>
      <c r="H416" s="8">
        <f>VLOOKUP(B416,'[1]HSN CODE  TAX RATE'!$A$1:$E$13821,5,0)</f>
        <v>28</v>
      </c>
      <c r="I416" s="7"/>
      <c r="J416" s="7"/>
      <c r="K416" s="8"/>
    </row>
    <row r="417" spans="1:11" x14ac:dyDescent="0.25">
      <c r="A417" s="7">
        <v>416</v>
      </c>
      <c r="B417" s="8">
        <v>26257356</v>
      </c>
      <c r="C417" s="29" t="s">
        <v>2012</v>
      </c>
      <c r="D417" s="7"/>
      <c r="E417" s="7">
        <v>11</v>
      </c>
      <c r="F417" s="8">
        <v>615</v>
      </c>
      <c r="G417" s="8"/>
      <c r="H417" s="8">
        <f>VLOOKUP(B417,'[1]HSN CODE  TAX RATE'!$A$1:$E$13821,5,0)</f>
        <v>28</v>
      </c>
      <c r="I417" s="7"/>
      <c r="J417" s="7"/>
      <c r="K417" s="8"/>
    </row>
    <row r="418" spans="1:11" x14ac:dyDescent="0.25">
      <c r="A418" s="7">
        <v>417</v>
      </c>
      <c r="B418" s="8">
        <v>26241546</v>
      </c>
      <c r="C418" s="13" t="s">
        <v>4437</v>
      </c>
      <c r="D418" s="7"/>
      <c r="E418" s="14">
        <v>11</v>
      </c>
      <c r="F418" s="8">
        <v>99</v>
      </c>
      <c r="G418" s="8"/>
      <c r="H418" s="8">
        <f>VLOOKUP(B418,'[1]HSN CODE  TAX RATE'!$A$1:$E$13821,5,0)</f>
        <v>28</v>
      </c>
      <c r="I418" s="7"/>
      <c r="J418" s="7"/>
      <c r="K418" s="7"/>
    </row>
    <row r="419" spans="1:11" x14ac:dyDescent="0.25">
      <c r="A419" s="7">
        <v>418</v>
      </c>
      <c r="B419" s="8">
        <v>26218432</v>
      </c>
      <c r="C419" s="13" t="s">
        <v>2825</v>
      </c>
      <c r="D419" s="7"/>
      <c r="E419" s="14">
        <v>8</v>
      </c>
      <c r="F419" s="8">
        <v>1661</v>
      </c>
      <c r="G419" s="8"/>
      <c r="H419" s="8"/>
      <c r="I419" s="7"/>
      <c r="J419" s="7"/>
      <c r="K419" s="7"/>
    </row>
    <row r="420" spans="1:11" x14ac:dyDescent="0.25">
      <c r="A420" s="7">
        <v>419</v>
      </c>
      <c r="B420" s="8">
        <v>26252007</v>
      </c>
      <c r="C420" s="13" t="s">
        <v>3651</v>
      </c>
      <c r="D420" s="7"/>
      <c r="E420" s="7">
        <v>11</v>
      </c>
      <c r="F420" s="8">
        <v>98</v>
      </c>
      <c r="G420" s="8"/>
      <c r="H420" s="8"/>
      <c r="I420" s="7"/>
      <c r="J420" s="7"/>
      <c r="K420" s="7"/>
    </row>
    <row r="421" spans="1:11" x14ac:dyDescent="0.25">
      <c r="A421" s="7">
        <v>420</v>
      </c>
      <c r="B421" s="8">
        <v>26223157</v>
      </c>
      <c r="C421" s="13" t="s">
        <v>337</v>
      </c>
      <c r="D421" s="7"/>
      <c r="E421" s="7">
        <v>8</v>
      </c>
      <c r="F421" s="8">
        <v>1802</v>
      </c>
      <c r="G421" s="8"/>
      <c r="H421" s="8"/>
      <c r="I421" s="7"/>
      <c r="J421" s="7"/>
      <c r="K421" s="7"/>
    </row>
    <row r="422" spans="1:11" x14ac:dyDescent="0.25">
      <c r="A422" s="7">
        <v>421</v>
      </c>
      <c r="B422" s="8">
        <v>26249708</v>
      </c>
      <c r="C422" s="8" t="s">
        <v>3512</v>
      </c>
      <c r="D422" s="7"/>
      <c r="E422" s="7">
        <v>12</v>
      </c>
      <c r="F422" s="8">
        <v>747</v>
      </c>
      <c r="G422" s="8"/>
      <c r="H422" s="8">
        <f>VLOOKUP(B422,'[1]HSN CODE  TAX RATE'!$A$1:$E$13821,5,0)</f>
        <v>28</v>
      </c>
      <c r="I422" s="7"/>
      <c r="J422" s="13"/>
      <c r="K422" s="8"/>
    </row>
    <row r="423" spans="1:11" x14ac:dyDescent="0.25">
      <c r="A423" s="7">
        <v>422</v>
      </c>
      <c r="B423" s="8">
        <v>26263319</v>
      </c>
      <c r="C423" s="13" t="s">
        <v>3378</v>
      </c>
      <c r="D423" s="7"/>
      <c r="E423" s="14">
        <v>12</v>
      </c>
      <c r="F423" s="8">
        <v>743</v>
      </c>
      <c r="G423" s="8"/>
      <c r="H423" s="8"/>
      <c r="I423" s="7"/>
      <c r="J423" s="7"/>
      <c r="K423" s="7"/>
    </row>
    <row r="424" spans="1:11" x14ac:dyDescent="0.25">
      <c r="A424" s="7">
        <v>423</v>
      </c>
      <c r="B424" s="8">
        <v>26712888</v>
      </c>
      <c r="C424" s="13" t="s">
        <v>696</v>
      </c>
      <c r="D424" s="7"/>
      <c r="E424" s="14">
        <v>14</v>
      </c>
      <c r="F424" s="8">
        <v>400</v>
      </c>
      <c r="G424" s="8"/>
      <c r="H424" s="8"/>
      <c r="I424" s="7"/>
      <c r="J424" s="7"/>
      <c r="K424" s="7"/>
    </row>
    <row r="425" spans="1:11" x14ac:dyDescent="0.25">
      <c r="A425" s="7">
        <v>424</v>
      </c>
      <c r="B425" s="8">
        <v>26242723</v>
      </c>
      <c r="C425" s="8" t="s">
        <v>837</v>
      </c>
      <c r="D425" s="7"/>
      <c r="E425" s="7">
        <v>16</v>
      </c>
      <c r="F425" s="8">
        <v>715</v>
      </c>
      <c r="G425" s="8"/>
      <c r="H425" s="8">
        <f>VLOOKUP(B425,'[1]HSN CODE  TAX RATE'!$A$1:$E$13821,5,0)</f>
        <v>28</v>
      </c>
      <c r="I425" s="7"/>
      <c r="J425" s="7"/>
      <c r="K425" s="8"/>
    </row>
    <row r="426" spans="1:11" x14ac:dyDescent="0.25">
      <c r="A426" s="7">
        <v>425</v>
      </c>
      <c r="B426" s="8">
        <v>26244696</v>
      </c>
      <c r="C426" s="29" t="s">
        <v>260</v>
      </c>
      <c r="D426" s="7"/>
      <c r="E426" s="7">
        <v>16</v>
      </c>
      <c r="F426" s="8">
        <v>2017</v>
      </c>
      <c r="G426" s="8"/>
      <c r="H426" s="8">
        <f>VLOOKUP(B426,'[1]HSN CODE  TAX RATE'!$A$1:$E$13821,5,0)</f>
        <v>28</v>
      </c>
      <c r="I426" s="13"/>
      <c r="J426" s="13"/>
      <c r="K426" s="8"/>
    </row>
    <row r="427" spans="1:11" x14ac:dyDescent="0.25">
      <c r="A427" s="7">
        <v>426</v>
      </c>
      <c r="B427" s="8">
        <v>26253149</v>
      </c>
      <c r="C427" s="8" t="s">
        <v>749</v>
      </c>
      <c r="D427" s="7"/>
      <c r="E427" s="7">
        <v>16</v>
      </c>
      <c r="F427" s="8">
        <v>133</v>
      </c>
      <c r="G427" s="8"/>
      <c r="H427" s="8">
        <f>VLOOKUP(B427,'[1]HSN CODE  TAX RATE'!$A$1:$E$13821,5,0)</f>
        <v>18</v>
      </c>
      <c r="I427" s="7"/>
      <c r="J427" s="7"/>
      <c r="K427" s="8">
        <v>5</v>
      </c>
    </row>
    <row r="428" spans="1:11" x14ac:dyDescent="0.25">
      <c r="A428" s="7">
        <v>427</v>
      </c>
      <c r="B428" s="8">
        <v>26218362</v>
      </c>
      <c r="C428" s="8" t="s">
        <v>1234</v>
      </c>
      <c r="D428" s="7"/>
      <c r="E428" s="7">
        <v>16</v>
      </c>
      <c r="F428" s="8">
        <v>949</v>
      </c>
      <c r="G428" s="8"/>
      <c r="H428" s="8">
        <f>VLOOKUP(B428,'[1]HSN CODE  TAX RATE'!$A$1:$E$13821,5,0)</f>
        <v>28</v>
      </c>
      <c r="I428" s="7"/>
      <c r="J428" s="7"/>
      <c r="K428" s="8"/>
    </row>
    <row r="429" spans="1:11" x14ac:dyDescent="0.25">
      <c r="A429" s="7">
        <v>428</v>
      </c>
      <c r="B429" s="8">
        <v>26071135</v>
      </c>
      <c r="C429" s="13" t="s">
        <v>798</v>
      </c>
      <c r="D429" s="7"/>
      <c r="E429" s="14">
        <v>16</v>
      </c>
      <c r="F429" s="8">
        <v>2209</v>
      </c>
      <c r="G429" s="8"/>
      <c r="H429" s="8"/>
      <c r="I429" s="7"/>
      <c r="J429" s="7"/>
      <c r="K429" s="7"/>
    </row>
    <row r="430" spans="1:11" x14ac:dyDescent="0.25">
      <c r="A430" s="7">
        <v>429</v>
      </c>
      <c r="B430" s="8">
        <v>26214783</v>
      </c>
      <c r="C430" s="8" t="s">
        <v>838</v>
      </c>
      <c r="D430" s="7"/>
      <c r="E430" s="7">
        <v>17</v>
      </c>
      <c r="F430" s="8">
        <v>284</v>
      </c>
      <c r="G430" s="8"/>
      <c r="H430" s="8">
        <f>VLOOKUP(B430,'[1]HSN CODE  TAX RATE'!$A$1:$E$13821,5,0)</f>
        <v>28</v>
      </c>
      <c r="I430" s="7"/>
      <c r="J430" s="13"/>
      <c r="K430" s="8">
        <v>3</v>
      </c>
    </row>
    <row r="431" spans="1:11" x14ac:dyDescent="0.25">
      <c r="A431" s="7">
        <v>430</v>
      </c>
      <c r="B431" s="8">
        <v>26244619</v>
      </c>
      <c r="C431" s="8" t="s">
        <v>3579</v>
      </c>
      <c r="D431" s="7"/>
      <c r="E431" s="7">
        <v>17</v>
      </c>
      <c r="F431" s="8">
        <v>573</v>
      </c>
      <c r="G431" s="8"/>
      <c r="H431" s="8">
        <v>18</v>
      </c>
      <c r="I431" s="13"/>
      <c r="J431" s="13"/>
      <c r="K431" s="8"/>
    </row>
    <row r="432" spans="1:11" x14ac:dyDescent="0.25">
      <c r="A432" s="7">
        <v>431</v>
      </c>
      <c r="B432" s="8">
        <v>26710626</v>
      </c>
      <c r="C432" s="13" t="s">
        <v>696</v>
      </c>
      <c r="D432" s="7"/>
      <c r="E432" s="14">
        <v>20</v>
      </c>
      <c r="F432" s="8">
        <v>158</v>
      </c>
      <c r="G432" s="8"/>
      <c r="H432" s="8"/>
      <c r="I432" s="7"/>
      <c r="J432" s="7"/>
      <c r="K432" s="7"/>
    </row>
    <row r="433" spans="1:11" x14ac:dyDescent="0.25">
      <c r="A433" s="7">
        <v>432</v>
      </c>
      <c r="B433" s="8">
        <v>26211204</v>
      </c>
      <c r="C433" s="8" t="s">
        <v>416</v>
      </c>
      <c r="D433" s="7"/>
      <c r="E433" s="7">
        <v>22</v>
      </c>
      <c r="F433" s="8">
        <v>114</v>
      </c>
      <c r="G433" s="8"/>
      <c r="H433" s="8">
        <f>VLOOKUP(B433,'[1]HSN CODE  TAX RATE'!$A$1:$E$13821,5,0)</f>
        <v>28</v>
      </c>
      <c r="I433" s="7"/>
      <c r="J433" s="7"/>
      <c r="K433" s="8">
        <v>6</v>
      </c>
    </row>
    <row r="434" spans="1:11" x14ac:dyDescent="0.25">
      <c r="A434" s="7">
        <v>433</v>
      </c>
      <c r="B434" s="8">
        <v>26710548</v>
      </c>
      <c r="C434" s="13" t="s">
        <v>693</v>
      </c>
      <c r="D434" s="7"/>
      <c r="E434" s="14">
        <v>23</v>
      </c>
      <c r="F434" s="8">
        <v>232</v>
      </c>
      <c r="G434" s="8"/>
      <c r="H434" s="8"/>
      <c r="I434" s="7"/>
      <c r="J434" s="7"/>
      <c r="K434" s="7"/>
    </row>
    <row r="435" spans="1:11" x14ac:dyDescent="0.25">
      <c r="A435" s="7">
        <v>434</v>
      </c>
      <c r="B435" s="8">
        <v>26024332</v>
      </c>
      <c r="C435" s="13" t="s">
        <v>234</v>
      </c>
      <c r="D435" s="7"/>
      <c r="E435" s="14">
        <v>27</v>
      </c>
      <c r="F435" s="8" t="s">
        <v>3893</v>
      </c>
      <c r="G435" s="8" t="s">
        <v>3894</v>
      </c>
      <c r="H435" s="8"/>
      <c r="I435" s="7"/>
      <c r="J435" s="7"/>
      <c r="K435" s="7"/>
    </row>
    <row r="436" spans="1:11" x14ac:dyDescent="0.25">
      <c r="A436" s="7">
        <v>435</v>
      </c>
      <c r="B436" s="8">
        <v>26261619</v>
      </c>
      <c r="C436" s="29" t="s">
        <v>260</v>
      </c>
      <c r="D436" s="7"/>
      <c r="E436" s="7">
        <v>24</v>
      </c>
      <c r="F436" s="8">
        <v>1328</v>
      </c>
      <c r="G436" s="8"/>
      <c r="H436" s="8"/>
      <c r="I436" s="7"/>
      <c r="J436" s="7"/>
      <c r="K436" s="7"/>
    </row>
    <row r="437" spans="1:11" x14ac:dyDescent="0.25">
      <c r="A437" s="7">
        <v>436</v>
      </c>
      <c r="B437" s="8">
        <v>26215686</v>
      </c>
      <c r="C437" s="94" t="s">
        <v>337</v>
      </c>
      <c r="D437" s="7"/>
      <c r="E437" s="7">
        <v>29</v>
      </c>
      <c r="F437" s="8">
        <v>801</v>
      </c>
      <c r="G437" s="8"/>
      <c r="H437" s="8">
        <f>VLOOKUP(B437,'[1]HSN CODE  TAX RATE'!$A$1:$E$13821,5,0)</f>
        <v>28</v>
      </c>
      <c r="I437" s="7"/>
      <c r="J437" s="7"/>
      <c r="K437" s="8"/>
    </row>
    <row r="438" spans="1:11" x14ac:dyDescent="0.25">
      <c r="A438" s="7">
        <v>437</v>
      </c>
      <c r="B438" s="8">
        <v>26254073</v>
      </c>
      <c r="C438" s="8" t="s">
        <v>635</v>
      </c>
      <c r="D438" s="7"/>
      <c r="E438" s="7">
        <v>32</v>
      </c>
      <c r="F438" s="8" t="s">
        <v>4543</v>
      </c>
      <c r="G438" s="8"/>
      <c r="H438" s="8">
        <f>VLOOKUP(B438,'[1]HSN CODE  TAX RATE'!$A$1:$E$13821,5,0)</f>
        <v>28</v>
      </c>
      <c r="I438" s="7"/>
      <c r="J438" s="7"/>
      <c r="K438" s="8">
        <v>5</v>
      </c>
    </row>
    <row r="439" spans="1:11" x14ac:dyDescent="0.25">
      <c r="A439" s="7">
        <v>438</v>
      </c>
      <c r="B439" s="8">
        <v>26211637</v>
      </c>
      <c r="C439" s="8" t="s">
        <v>833</v>
      </c>
      <c r="D439" s="7"/>
      <c r="E439" s="7">
        <v>48</v>
      </c>
      <c r="F439" s="8">
        <v>228</v>
      </c>
      <c r="G439" s="8"/>
      <c r="H439" s="8">
        <f>VLOOKUP(B439,'[1]HSN CODE  TAX RATE'!$A$1:$E$13821,5,0)</f>
        <v>28</v>
      </c>
      <c r="I439" s="7"/>
      <c r="J439" s="7"/>
      <c r="K439" s="8">
        <v>3</v>
      </c>
    </row>
    <row r="440" spans="1:11" x14ac:dyDescent="0.25">
      <c r="A440" s="7">
        <v>439</v>
      </c>
      <c r="B440" s="8">
        <v>26215478</v>
      </c>
      <c r="C440" s="8" t="s">
        <v>2291</v>
      </c>
      <c r="D440" s="7"/>
      <c r="E440" s="7">
        <v>230</v>
      </c>
      <c r="F440" s="8">
        <v>318</v>
      </c>
      <c r="G440" s="8"/>
      <c r="H440" s="8">
        <f>VLOOKUP(B440,'[1]HSN CODE  TAX RATE'!$A$1:$E$13821,5,0)</f>
        <v>28</v>
      </c>
      <c r="I440" s="7"/>
      <c r="J440" s="7"/>
      <c r="K440" s="8">
        <v>3</v>
      </c>
    </row>
    <row r="441" spans="1:11" x14ac:dyDescent="0.25">
      <c r="A441" s="7">
        <v>440</v>
      </c>
      <c r="B441" s="8">
        <v>26244982</v>
      </c>
      <c r="C441" s="8" t="s">
        <v>148</v>
      </c>
      <c r="D441" s="7"/>
      <c r="E441" s="7" t="s">
        <v>537</v>
      </c>
      <c r="F441" s="8">
        <v>1165</v>
      </c>
      <c r="G441" s="8"/>
      <c r="H441" s="8">
        <f>VLOOKUP(B441,'[1]HSN CODE  TAX RATE'!$A$1:$E$13821,5,0)</f>
        <v>28</v>
      </c>
      <c r="I441" s="7"/>
      <c r="J441" s="7"/>
      <c r="K441" s="8"/>
    </row>
    <row r="442" spans="1:11" x14ac:dyDescent="0.25">
      <c r="A442" s="7">
        <v>441</v>
      </c>
      <c r="B442" s="8">
        <v>26244228</v>
      </c>
      <c r="C442" s="13" t="s">
        <v>394</v>
      </c>
      <c r="D442" s="7"/>
      <c r="E442" s="14" t="s">
        <v>1430</v>
      </c>
      <c r="F442" s="8">
        <v>250</v>
      </c>
      <c r="G442" s="8"/>
      <c r="H442" s="8">
        <f>VLOOKUP('LUCAS BULB'!B42,'[1]HSN CODE  TAX RATE'!$A$1:$E$13821,5,0)</f>
        <v>18</v>
      </c>
      <c r="I442" s="7"/>
      <c r="J442" s="7"/>
      <c r="K442" s="8"/>
    </row>
    <row r="443" spans="1:11" x14ac:dyDescent="0.25">
      <c r="A443" s="7">
        <v>442</v>
      </c>
      <c r="B443" s="8">
        <v>26246719</v>
      </c>
      <c r="C443" s="13" t="s">
        <v>4455</v>
      </c>
      <c r="D443" s="7"/>
      <c r="E443" s="7" t="s">
        <v>4470</v>
      </c>
      <c r="F443" s="8"/>
      <c r="G443" s="8"/>
      <c r="H443" s="8"/>
      <c r="I443" s="7"/>
      <c r="J443" s="7"/>
      <c r="K443" s="7"/>
    </row>
    <row r="444" spans="1:11" x14ac:dyDescent="0.25">
      <c r="A444" s="7">
        <v>443</v>
      </c>
      <c r="B444" s="8">
        <v>26240480</v>
      </c>
      <c r="C444" s="8" t="s">
        <v>257</v>
      </c>
      <c r="D444" s="7"/>
      <c r="E444" s="7" t="s">
        <v>795</v>
      </c>
      <c r="F444" s="8">
        <v>188</v>
      </c>
      <c r="G444" s="8"/>
      <c r="H444" s="8">
        <f>VLOOKUP(B444,'[1]HSN CODE  TAX RATE'!$A$1:$E$13821,5,0)</f>
        <v>28</v>
      </c>
      <c r="I444" s="7"/>
      <c r="J444" s="7"/>
      <c r="K444" s="8">
        <v>5</v>
      </c>
    </row>
    <row r="445" spans="1:11" x14ac:dyDescent="0.25">
      <c r="A445" s="7">
        <v>444</v>
      </c>
      <c r="B445" s="8">
        <v>26240490</v>
      </c>
      <c r="C445" s="8" t="s">
        <v>1674</v>
      </c>
      <c r="D445" s="7"/>
      <c r="E445" s="7" t="s">
        <v>2986</v>
      </c>
      <c r="F445" s="8">
        <v>196</v>
      </c>
      <c r="G445" s="8"/>
      <c r="H445" s="8">
        <f>VLOOKUP(B445,'[1]HSN CODE  TAX RATE'!$A$1:$E$13821,5,0)</f>
        <v>28</v>
      </c>
      <c r="I445" s="7"/>
      <c r="J445" s="7"/>
      <c r="K445" s="8">
        <v>5</v>
      </c>
    </row>
    <row r="446" spans="1:11" x14ac:dyDescent="0.25">
      <c r="A446" s="7">
        <v>445</v>
      </c>
      <c r="B446" s="8">
        <v>26219632</v>
      </c>
      <c r="C446" s="13" t="s">
        <v>337</v>
      </c>
      <c r="D446" s="7"/>
      <c r="E446" s="7">
        <v>0</v>
      </c>
      <c r="F446" s="8"/>
      <c r="G446" s="8"/>
      <c r="H446" s="8"/>
      <c r="I446" s="7"/>
      <c r="J446" s="7"/>
      <c r="K446" s="7"/>
    </row>
    <row r="447" spans="1:11" x14ac:dyDescent="0.25">
      <c r="A447" s="7">
        <v>446</v>
      </c>
      <c r="B447" s="8">
        <v>26222358</v>
      </c>
      <c r="C447" s="7"/>
      <c r="D447" s="7"/>
      <c r="E447" s="7">
        <v>0</v>
      </c>
      <c r="F447" s="8"/>
      <c r="G447" s="8"/>
      <c r="H447" s="8"/>
      <c r="I447" s="7"/>
      <c r="J447" s="7"/>
      <c r="K447" s="7"/>
    </row>
    <row r="448" spans="1:11" x14ac:dyDescent="0.25">
      <c r="A448" s="7">
        <v>447</v>
      </c>
      <c r="B448" s="102" t="s">
        <v>3649</v>
      </c>
      <c r="C448" s="102" t="s">
        <v>3650</v>
      </c>
      <c r="D448" s="7"/>
      <c r="E448" s="7">
        <v>0</v>
      </c>
      <c r="F448" s="103">
        <v>20575</v>
      </c>
      <c r="G448" s="103"/>
      <c r="H448" s="8"/>
      <c r="I448" s="7"/>
      <c r="J448" s="7"/>
      <c r="K448" s="7"/>
    </row>
    <row r="449" spans="1:11" x14ac:dyDescent="0.25">
      <c r="A449" s="7">
        <v>448</v>
      </c>
      <c r="B449" s="8">
        <v>4853</v>
      </c>
      <c r="C449" s="13" t="s">
        <v>4123</v>
      </c>
      <c r="D449" s="7"/>
      <c r="E449" s="7">
        <v>0</v>
      </c>
      <c r="F449" s="8"/>
      <c r="G449" s="8"/>
      <c r="H449" s="8"/>
      <c r="I449" s="7"/>
      <c r="J449" s="7"/>
      <c r="K449" s="7"/>
    </row>
    <row r="450" spans="1:11" x14ac:dyDescent="0.25">
      <c r="A450" s="7">
        <v>449</v>
      </c>
      <c r="B450" s="8">
        <v>26260345</v>
      </c>
      <c r="C450" s="29" t="s">
        <v>260</v>
      </c>
      <c r="D450" s="7"/>
      <c r="E450" s="7">
        <v>0</v>
      </c>
      <c r="F450" s="8"/>
      <c r="G450" s="8"/>
      <c r="H450" s="8"/>
      <c r="I450" s="7"/>
      <c r="J450" s="7"/>
      <c r="K450" s="7"/>
    </row>
    <row r="451" spans="1:11" x14ac:dyDescent="0.25">
      <c r="A451" s="7">
        <v>450</v>
      </c>
      <c r="B451" s="8">
        <v>26246262</v>
      </c>
      <c r="C451" s="13" t="s">
        <v>659</v>
      </c>
      <c r="D451" s="7"/>
      <c r="E451" s="7">
        <v>0</v>
      </c>
      <c r="F451" s="8"/>
      <c r="G451" s="8"/>
      <c r="H451" s="8"/>
      <c r="I451" s="7"/>
      <c r="J451" s="7"/>
      <c r="K451" s="7"/>
    </row>
    <row r="452" spans="1:11" x14ac:dyDescent="0.25">
      <c r="E452"/>
      <c r="H452" s="4"/>
    </row>
  </sheetData>
  <autoFilter ref="A1:O451" xr:uid="{00000000-0009-0000-0000-000000000000}">
    <sortState xmlns:xlrd2="http://schemas.microsoft.com/office/spreadsheetml/2017/richdata2"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103"/>
  <sheetViews>
    <sheetView zoomScale="110" zoomScaleNormal="110" workbookViewId="0">
      <selection sqref="A1:F1"/>
    </sheetView>
  </sheetViews>
  <sheetFormatPr defaultRowHeight="15" x14ac:dyDescent="0.25"/>
  <cols>
    <col min="1" max="1" width="6.7109375" bestFit="1" customWidth="1"/>
    <col min="2" max="2" width="14" style="4" customWidth="1"/>
    <col min="3" max="3" width="34.140625" style="11" bestFit="1" customWidth="1"/>
    <col min="4" max="4" width="4.42578125" style="11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 x14ac:dyDescent="0.3">
      <c r="A1" s="91" t="s">
        <v>592</v>
      </c>
      <c r="B1" s="91" t="s">
        <v>449</v>
      </c>
      <c r="C1" s="91" t="s">
        <v>4654</v>
      </c>
      <c r="D1" s="91" t="s">
        <v>593</v>
      </c>
      <c r="E1" s="92" t="s">
        <v>594</v>
      </c>
      <c r="F1" s="91" t="s">
        <v>595</v>
      </c>
      <c r="G1" s="18" t="s">
        <v>62</v>
      </c>
      <c r="H1" s="18" t="s">
        <v>356</v>
      </c>
      <c r="I1" s="18" t="s">
        <v>357</v>
      </c>
      <c r="J1" s="5" t="s">
        <v>222</v>
      </c>
      <c r="K1" s="5" t="s">
        <v>223</v>
      </c>
    </row>
    <row r="2" spans="1:16" x14ac:dyDescent="0.25">
      <c r="A2" s="19">
        <v>1</v>
      </c>
      <c r="B2" s="19" t="s">
        <v>21</v>
      </c>
      <c r="C2" s="24" t="s">
        <v>1651</v>
      </c>
      <c r="D2" s="24"/>
      <c r="E2" s="19">
        <v>3</v>
      </c>
      <c r="F2" s="19">
        <v>1445</v>
      </c>
      <c r="G2" s="19">
        <v>1201</v>
      </c>
      <c r="H2" s="19">
        <f>VLOOKUP(B2,'[1]HSN CODE  TAX RATE'!$A$1:$E$13821,5,0)</f>
        <v>28</v>
      </c>
      <c r="I2" s="19">
        <f>VLOOKUP(B2,'[1]HSN CODE  TAX RATE'!$A$1:$E$13823,2,0)</f>
        <v>84139190</v>
      </c>
      <c r="J2" s="15"/>
      <c r="M2" s="3"/>
      <c r="N2" s="3"/>
    </row>
    <row r="3" spans="1:16" x14ac:dyDescent="0.25">
      <c r="A3" s="19">
        <v>2</v>
      </c>
      <c r="B3" s="19" t="s">
        <v>22</v>
      </c>
      <c r="C3" s="19" t="s">
        <v>1774</v>
      </c>
      <c r="D3" s="19"/>
      <c r="E3" s="19">
        <v>19</v>
      </c>
      <c r="F3" s="19">
        <v>772</v>
      </c>
      <c r="G3" s="19">
        <v>641</v>
      </c>
      <c r="H3" s="19">
        <f>VLOOKUP(B3,'[1]HSN CODE  TAX RATE'!$A$1:$E$13821,5,0)</f>
        <v>28</v>
      </c>
      <c r="I3" s="19">
        <f>VLOOKUP(B3,'[1]HSN CODE  TAX RATE'!$A$1:$E$13823,2,0)</f>
        <v>84139190</v>
      </c>
      <c r="J3" s="26"/>
      <c r="K3" s="3"/>
      <c r="L3" s="3"/>
      <c r="M3" s="3"/>
      <c r="N3" s="3"/>
      <c r="O3" s="3"/>
      <c r="P3" s="3"/>
    </row>
    <row r="4" spans="1:16" x14ac:dyDescent="0.25">
      <c r="A4" s="19">
        <v>3</v>
      </c>
      <c r="B4" s="19" t="s">
        <v>23</v>
      </c>
      <c r="C4" s="19" t="s">
        <v>1652</v>
      </c>
      <c r="D4" s="19"/>
      <c r="E4" s="19">
        <v>12</v>
      </c>
      <c r="F4" s="19">
        <v>154</v>
      </c>
      <c r="G4" s="19">
        <v>118</v>
      </c>
      <c r="H4" s="19">
        <f>VLOOKUP(B4,'[1]HSN CODE  TAX RATE'!$A$1:$E$13821,5,0)</f>
        <v>28</v>
      </c>
      <c r="I4" s="19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 x14ac:dyDescent="0.25">
      <c r="A5" s="19">
        <v>4</v>
      </c>
      <c r="B5" s="19" t="s">
        <v>2764</v>
      </c>
      <c r="C5" s="24" t="s">
        <v>535</v>
      </c>
      <c r="D5" s="24"/>
      <c r="E5" s="19">
        <v>4</v>
      </c>
      <c r="F5" s="19">
        <v>1210</v>
      </c>
      <c r="G5" s="19">
        <v>1005</v>
      </c>
      <c r="H5" s="19" t="e">
        <f>VLOOKUP(B5,'[1]HSN CODE  TAX RATE'!$A$1:$E$13821,5,0)</f>
        <v>#N/A</v>
      </c>
      <c r="I5" s="19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 x14ac:dyDescent="0.25">
      <c r="A6" s="19">
        <v>5</v>
      </c>
      <c r="B6" s="28" t="s">
        <v>24</v>
      </c>
      <c r="C6" s="24" t="s">
        <v>1655</v>
      </c>
      <c r="D6" s="24"/>
      <c r="E6" s="19">
        <v>4</v>
      </c>
      <c r="F6" s="19" t="s">
        <v>2756</v>
      </c>
      <c r="G6" s="19" t="s">
        <v>3152</v>
      </c>
      <c r="H6" s="19">
        <f>VLOOKUP(B6,'[1]HSN CODE  TAX RATE'!$A$1:$E$13821,5,0)</f>
        <v>28</v>
      </c>
      <c r="I6" s="19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 x14ac:dyDescent="0.25">
      <c r="A7" s="19">
        <v>6</v>
      </c>
      <c r="B7" s="19" t="s">
        <v>25</v>
      </c>
      <c r="C7" s="19" t="s">
        <v>1656</v>
      </c>
      <c r="D7" s="19"/>
      <c r="E7" s="19">
        <v>1</v>
      </c>
      <c r="F7" s="19" t="s">
        <v>2756</v>
      </c>
      <c r="G7" s="19" t="s">
        <v>2757</v>
      </c>
      <c r="H7" s="19">
        <f>VLOOKUP(B7,'[1]HSN CODE  TAX RATE'!$A$1:$E$13821,5,0)</f>
        <v>28</v>
      </c>
      <c r="I7" s="19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 x14ac:dyDescent="0.25">
      <c r="A8" s="19">
        <v>7</v>
      </c>
      <c r="B8" s="19" t="s">
        <v>422</v>
      </c>
      <c r="C8" s="19" t="s">
        <v>536</v>
      </c>
      <c r="D8" s="19"/>
      <c r="E8" s="19">
        <v>6</v>
      </c>
      <c r="F8" s="19">
        <v>532</v>
      </c>
      <c r="G8" s="19">
        <v>420</v>
      </c>
      <c r="H8" s="19">
        <f>VLOOKUP(B8,'[1]HSN CODE  TAX RATE'!$A$1:$E$13821,5,0)</f>
        <v>28</v>
      </c>
      <c r="I8" s="19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 x14ac:dyDescent="0.25">
      <c r="A9" s="19">
        <v>8</v>
      </c>
      <c r="B9" s="19" t="s">
        <v>30</v>
      </c>
      <c r="C9" s="19" t="s">
        <v>31</v>
      </c>
      <c r="D9" s="19"/>
      <c r="E9" s="19">
        <v>0</v>
      </c>
      <c r="F9" s="19">
        <v>913</v>
      </c>
      <c r="G9" s="19">
        <v>760</v>
      </c>
      <c r="H9" s="19">
        <f>VLOOKUP(B9,'[1]HSN CODE  TAX RATE'!$A$1:$E$13821,5,0)</f>
        <v>28</v>
      </c>
      <c r="I9" s="19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 x14ac:dyDescent="0.25">
      <c r="A10" s="19">
        <v>9</v>
      </c>
      <c r="B10" s="19" t="s">
        <v>32</v>
      </c>
      <c r="C10" s="19" t="s">
        <v>1650</v>
      </c>
      <c r="D10" s="19"/>
      <c r="E10" s="19">
        <v>10</v>
      </c>
      <c r="F10" s="19">
        <v>519</v>
      </c>
      <c r="G10" s="19">
        <v>431</v>
      </c>
      <c r="H10" s="19">
        <f>VLOOKUP(B10,'[1]HSN CODE  TAX RATE'!$A$1:$E$13821,5,0)</f>
        <v>28</v>
      </c>
      <c r="I10" s="19">
        <f>VLOOKUP(B10,'[1]HSN CODE  TAX RATE'!$A$1:$E$13823,2,0)</f>
        <v>84139190</v>
      </c>
      <c r="J10" s="26"/>
      <c r="K10" s="3"/>
      <c r="L10" s="3"/>
      <c r="M10" s="3"/>
      <c r="N10" s="3"/>
      <c r="O10" s="3"/>
      <c r="P10" s="3"/>
    </row>
    <row r="11" spans="1:16" x14ac:dyDescent="0.25">
      <c r="A11" s="19">
        <v>10</v>
      </c>
      <c r="B11" s="19" t="s">
        <v>33</v>
      </c>
      <c r="C11" s="19" t="s">
        <v>544</v>
      </c>
      <c r="D11" s="19"/>
      <c r="E11" s="19">
        <v>20</v>
      </c>
      <c r="F11" s="19">
        <v>114</v>
      </c>
      <c r="G11" s="19">
        <v>87</v>
      </c>
      <c r="H11" s="19">
        <f>VLOOKUP(B11,'[1]HSN CODE  TAX RATE'!$A$1:$E$13821,5,0)</f>
        <v>28</v>
      </c>
      <c r="I11" s="19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 x14ac:dyDescent="0.25">
      <c r="A12" s="19">
        <v>11</v>
      </c>
      <c r="B12" s="19" t="s">
        <v>34</v>
      </c>
      <c r="C12" s="24" t="s">
        <v>1657</v>
      </c>
      <c r="D12" s="24"/>
      <c r="E12" s="19">
        <v>6</v>
      </c>
      <c r="F12" s="19">
        <v>1038</v>
      </c>
      <c r="G12" s="19">
        <v>862</v>
      </c>
      <c r="H12" s="19">
        <f>VLOOKUP(B12,'[1]HSN CODE  TAX RATE'!$A$1:$E$13821,5,0)</f>
        <v>28</v>
      </c>
      <c r="I12" s="19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 x14ac:dyDescent="0.25">
      <c r="A13" s="19">
        <v>12</v>
      </c>
      <c r="B13" s="19" t="s">
        <v>35</v>
      </c>
      <c r="C13" s="24" t="s">
        <v>1658</v>
      </c>
      <c r="D13" s="24"/>
      <c r="E13" s="19">
        <v>8</v>
      </c>
      <c r="F13" s="19" t="s">
        <v>3215</v>
      </c>
      <c r="G13" s="19" t="s">
        <v>3216</v>
      </c>
      <c r="H13" s="19">
        <f>VLOOKUP(B13,'[1]HSN CODE  TAX RATE'!$A$1:$E$13821,5,0)</f>
        <v>28</v>
      </c>
      <c r="I13" s="19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 x14ac:dyDescent="0.25">
      <c r="A14" s="19">
        <v>13</v>
      </c>
      <c r="B14" s="19" t="s">
        <v>36</v>
      </c>
      <c r="C14" s="24" t="s">
        <v>37</v>
      </c>
      <c r="D14" s="24"/>
      <c r="E14" s="19">
        <v>0</v>
      </c>
      <c r="F14" s="19">
        <v>1971</v>
      </c>
      <c r="G14" s="19">
        <v>1701</v>
      </c>
      <c r="H14" s="19">
        <f>VLOOKUP(B14,'[1]HSN CODE  TAX RATE'!$A$1:$E$13821,5,0)</f>
        <v>28</v>
      </c>
      <c r="I14" s="19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 x14ac:dyDescent="0.25">
      <c r="A15" s="19">
        <v>14</v>
      </c>
      <c r="B15" s="19" t="s">
        <v>38</v>
      </c>
      <c r="C15" s="19" t="s">
        <v>421</v>
      </c>
      <c r="D15" s="19"/>
      <c r="E15" s="19">
        <v>5</v>
      </c>
      <c r="F15" s="19">
        <v>790</v>
      </c>
      <c r="G15" s="19">
        <v>605</v>
      </c>
      <c r="H15" s="19">
        <f>VLOOKUP(B15,'[1]HSN CODE  TAX RATE'!$A$1:$E$13821,5,0)</f>
        <v>18</v>
      </c>
      <c r="I15" s="19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 x14ac:dyDescent="0.25">
      <c r="A16" s="19">
        <v>15</v>
      </c>
      <c r="B16" s="19" t="s">
        <v>40</v>
      </c>
      <c r="C16" s="19" t="s">
        <v>421</v>
      </c>
      <c r="D16" s="19"/>
      <c r="E16" s="19">
        <v>5</v>
      </c>
      <c r="F16" s="19">
        <v>788</v>
      </c>
      <c r="G16" s="19">
        <v>605</v>
      </c>
      <c r="H16" s="19">
        <f>VLOOKUP(B16,'[1]HSN CODE  TAX RATE'!$A$1:$E$13821,5,0)</f>
        <v>18</v>
      </c>
      <c r="I16" s="19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 x14ac:dyDescent="0.25">
      <c r="A17" s="19">
        <v>16</v>
      </c>
      <c r="B17" s="19" t="s">
        <v>41</v>
      </c>
      <c r="C17" s="28" t="s">
        <v>1714</v>
      </c>
      <c r="D17" s="28"/>
      <c r="E17" s="19">
        <v>5</v>
      </c>
      <c r="F17" s="19">
        <v>3377</v>
      </c>
      <c r="G17" s="19">
        <v>2640</v>
      </c>
      <c r="H17" s="19">
        <f>VLOOKUP(B17,'[1]HSN CODE  TAX RATE'!$A$1:$E$13821,5,0)</f>
        <v>28</v>
      </c>
      <c r="I17" s="19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 x14ac:dyDescent="0.25">
      <c r="A18" s="19">
        <v>17</v>
      </c>
      <c r="B18" s="19" t="s">
        <v>42</v>
      </c>
      <c r="C18" s="28" t="s">
        <v>1659</v>
      </c>
      <c r="D18" s="28"/>
      <c r="E18" s="19">
        <v>3</v>
      </c>
      <c r="F18" s="19">
        <v>5298</v>
      </c>
      <c r="G18" s="19">
        <v>4400</v>
      </c>
      <c r="H18" s="19">
        <f>VLOOKUP(B18,'[1]HSN CODE  TAX RATE'!$A$1:$E$13821,5,0)</f>
        <v>28</v>
      </c>
      <c r="I18" s="19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 x14ac:dyDescent="0.25">
      <c r="A19" s="19">
        <v>18</v>
      </c>
      <c r="B19" s="19" t="s">
        <v>43</v>
      </c>
      <c r="C19" s="28" t="s">
        <v>44</v>
      </c>
      <c r="D19" s="28"/>
      <c r="E19" s="19">
        <v>0</v>
      </c>
      <c r="F19" s="19" t="s">
        <v>3144</v>
      </c>
      <c r="G19" s="19" t="s">
        <v>3145</v>
      </c>
      <c r="H19" s="19">
        <f>VLOOKUP(B19,'[1]HSN CODE  TAX RATE'!$A$1:$E$13821,5,0)</f>
        <v>28</v>
      </c>
      <c r="I19" s="19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 x14ac:dyDescent="0.25">
      <c r="A20" s="19">
        <v>19</v>
      </c>
      <c r="B20" s="19" t="s">
        <v>45</v>
      </c>
      <c r="C20" s="19" t="s">
        <v>46</v>
      </c>
      <c r="D20" s="19"/>
      <c r="E20" s="19">
        <v>5</v>
      </c>
      <c r="F20" s="19">
        <v>1340</v>
      </c>
      <c r="G20" s="19">
        <v>1114</v>
      </c>
      <c r="H20" s="19">
        <f>VLOOKUP(B20,'[1]HSN CODE  TAX RATE'!$A$1:$E$13821,5,0)</f>
        <v>28</v>
      </c>
      <c r="I20" s="19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 x14ac:dyDescent="0.25">
      <c r="A21" s="19">
        <v>20</v>
      </c>
      <c r="B21" s="19" t="s">
        <v>53</v>
      </c>
      <c r="C21" s="19" t="s">
        <v>811</v>
      </c>
      <c r="D21" s="19"/>
      <c r="E21" s="19">
        <v>5</v>
      </c>
      <c r="F21" s="19" t="s">
        <v>3601</v>
      </c>
      <c r="G21" s="19" t="s">
        <v>3602</v>
      </c>
      <c r="H21" s="19">
        <f>VLOOKUP(B21,'[1]HSN CODE  TAX RATE'!$A$1:$E$13821,5,0)</f>
        <v>28</v>
      </c>
      <c r="I21" s="19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 x14ac:dyDescent="0.25">
      <c r="A22" s="19">
        <v>21</v>
      </c>
      <c r="B22" s="20" t="s">
        <v>54</v>
      </c>
      <c r="C22" s="39" t="s">
        <v>1653</v>
      </c>
      <c r="D22" s="39"/>
      <c r="E22" s="20">
        <v>14</v>
      </c>
      <c r="F22" s="19">
        <v>292</v>
      </c>
      <c r="G22" s="19">
        <v>225</v>
      </c>
      <c r="H22" s="19">
        <f>VLOOKUP(B22,'[1]HSN CODE  TAX RATE'!$A$1:$E$13821,5,0)</f>
        <v>18</v>
      </c>
      <c r="I22" s="19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 x14ac:dyDescent="0.25">
      <c r="A23" s="19">
        <v>22</v>
      </c>
      <c r="B23" s="19" t="s">
        <v>683</v>
      </c>
      <c r="C23" s="21" t="s">
        <v>55</v>
      </c>
      <c r="D23" s="21"/>
      <c r="E23" s="21">
        <v>0</v>
      </c>
      <c r="F23" s="19">
        <v>8649</v>
      </c>
      <c r="G23" s="19">
        <v>10257</v>
      </c>
      <c r="H23" s="19">
        <f>VLOOKUP(B23,'[1]HSN CODE  TAX RATE'!$A$1:$E$13821,5,0)</f>
        <v>28</v>
      </c>
      <c r="I23" s="19">
        <f>VLOOKUP(B23,'[1]HSN CODE  TAX RATE'!$A$1:$E$13823,2,0)</f>
        <v>84139190</v>
      </c>
      <c r="J23" s="16" t="s">
        <v>196</v>
      </c>
      <c r="K23" s="3"/>
      <c r="L23" s="3"/>
      <c r="M23" s="3"/>
      <c r="N23" s="3"/>
      <c r="O23" s="3"/>
      <c r="P23" s="3"/>
    </row>
    <row r="24" spans="1:16" x14ac:dyDescent="0.25">
      <c r="A24" s="19">
        <v>23</v>
      </c>
      <c r="B24" s="20" t="s">
        <v>56</v>
      </c>
      <c r="C24" s="21" t="s">
        <v>57</v>
      </c>
      <c r="D24" s="21"/>
      <c r="E24" s="21">
        <v>0</v>
      </c>
      <c r="F24" s="19">
        <v>594</v>
      </c>
      <c r="G24" s="19">
        <v>460</v>
      </c>
      <c r="H24" s="19">
        <f>VLOOKUP(B24,'[1]HSN CODE  TAX RATE'!$A$1:$E$13821,5,0)</f>
        <v>28</v>
      </c>
      <c r="I24" s="19">
        <f>VLOOKUP(B24,'[1]HSN CODE  TAX RATE'!$A$1:$E$13823,2,0)</f>
        <v>84139190</v>
      </c>
      <c r="J24" s="26"/>
      <c r="K24" s="3"/>
      <c r="L24" s="3"/>
      <c r="M24" s="3"/>
      <c r="N24" s="3"/>
      <c r="O24" s="3"/>
      <c r="P24" s="3"/>
    </row>
    <row r="25" spans="1:16" x14ac:dyDescent="0.25">
      <c r="A25" s="19">
        <v>24</v>
      </c>
      <c r="B25" s="21" t="s">
        <v>58</v>
      </c>
      <c r="C25" s="19" t="s">
        <v>831</v>
      </c>
      <c r="D25" s="19"/>
      <c r="E25" s="21">
        <v>2</v>
      </c>
      <c r="F25" s="19" t="s">
        <v>4506</v>
      </c>
      <c r="G25" s="19" t="s">
        <v>4507</v>
      </c>
      <c r="H25" s="19">
        <f>VLOOKUP(B25,'[1]HSN CODE  TAX RATE'!$A$1:$E$13821,5,0)</f>
        <v>28</v>
      </c>
      <c r="I25" s="19">
        <f>VLOOKUP(B25,'[1]HSN CODE  TAX RATE'!$A$1:$E$13823,2,0)</f>
        <v>84139190</v>
      </c>
      <c r="J25" s="3" t="s">
        <v>210</v>
      </c>
      <c r="K25" s="3"/>
      <c r="L25" s="3"/>
      <c r="M25" s="3"/>
      <c r="N25" s="3"/>
      <c r="O25" s="3"/>
      <c r="P25" s="3"/>
    </row>
    <row r="26" spans="1:16" x14ac:dyDescent="0.25">
      <c r="A26" s="19">
        <v>25</v>
      </c>
      <c r="B26" s="19" t="s">
        <v>550</v>
      </c>
      <c r="C26" s="19" t="s">
        <v>1187</v>
      </c>
      <c r="D26" s="19"/>
      <c r="E26" s="19">
        <v>4</v>
      </c>
      <c r="F26" s="19">
        <v>4490</v>
      </c>
      <c r="G26" s="19">
        <v>3730</v>
      </c>
      <c r="H26" s="19" t="e">
        <f>VLOOKUP(B26,'[1]HSN CODE  TAX RATE'!$A$1:$E$13821,5,0)</f>
        <v>#N/A</v>
      </c>
      <c r="I26" s="19" t="e">
        <f>VLOOKUP(B26,'[1]HSN CODE  TAX RATE'!$A$1:$E$13823,2,0)</f>
        <v>#N/A</v>
      </c>
      <c r="J26" s="38" t="s">
        <v>724</v>
      </c>
      <c r="K26" s="3"/>
      <c r="L26" s="3"/>
      <c r="M26" s="3"/>
      <c r="N26" s="3"/>
      <c r="O26" s="3"/>
      <c r="P26" s="3"/>
    </row>
    <row r="27" spans="1:16" x14ac:dyDescent="0.25">
      <c r="A27" s="19">
        <v>26</v>
      </c>
      <c r="B27" s="19">
        <v>28298372</v>
      </c>
      <c r="C27" s="19" t="s">
        <v>812</v>
      </c>
      <c r="D27" s="19"/>
      <c r="E27" s="21">
        <v>4</v>
      </c>
      <c r="F27" s="19">
        <v>2861</v>
      </c>
      <c r="G27" s="19" t="s">
        <v>2340</v>
      </c>
      <c r="H27" s="19">
        <f>VLOOKUP(B27,'[1]HSN CODE  TAX RATE'!$A$1:$E$13821,5,0)</f>
        <v>28</v>
      </c>
      <c r="I27" s="19">
        <f>VLOOKUP(B27,'[1]HSN CODE  TAX RATE'!$A$1:$E$13823,2,0)</f>
        <v>84099920</v>
      </c>
      <c r="L27" s="3"/>
      <c r="M27" s="3"/>
      <c r="N27" s="3"/>
      <c r="O27" s="3"/>
      <c r="P27" s="3"/>
    </row>
    <row r="28" spans="1:16" x14ac:dyDescent="0.25">
      <c r="A28" s="19">
        <v>27</v>
      </c>
      <c r="B28" s="19" t="s">
        <v>86</v>
      </c>
      <c r="C28" s="19" t="s">
        <v>1654</v>
      </c>
      <c r="D28" s="19"/>
      <c r="E28" s="21">
        <v>9</v>
      </c>
      <c r="F28" s="19">
        <v>365</v>
      </c>
      <c r="G28" s="19">
        <v>310</v>
      </c>
      <c r="H28" s="19">
        <f>VLOOKUP(B28,'[1]HSN CODE  TAX RATE'!$A$1:$E$13821,5,0)</f>
        <v>28</v>
      </c>
      <c r="I28" s="19">
        <f>VLOOKUP(B28,'[1]HSN CODE  TAX RATE'!$A$1:$E$13823,2,0)</f>
        <v>84139190</v>
      </c>
      <c r="L28" s="3"/>
      <c r="M28" s="3"/>
      <c r="N28" s="3"/>
      <c r="O28" s="3"/>
      <c r="P28" s="3"/>
    </row>
    <row r="29" spans="1:16" x14ac:dyDescent="0.25">
      <c r="A29" s="19">
        <v>28</v>
      </c>
      <c r="B29" s="21" t="s">
        <v>87</v>
      </c>
      <c r="C29" s="19" t="s">
        <v>1281</v>
      </c>
      <c r="D29" s="19"/>
      <c r="E29" s="21">
        <v>1</v>
      </c>
      <c r="F29" s="19">
        <v>3377</v>
      </c>
      <c r="G29" s="19">
        <v>2640</v>
      </c>
      <c r="H29" s="19">
        <f>VLOOKUP(B29,'[1]HSN CODE  TAX RATE'!$A$1:$E$13821,5,0)</f>
        <v>28</v>
      </c>
      <c r="I29" s="19">
        <f>VLOOKUP(B29,'[1]HSN CODE  TAX RATE'!$A$1:$E$13823,2,0)</f>
        <v>84099920</v>
      </c>
      <c r="L29" s="3"/>
      <c r="M29" s="3"/>
      <c r="N29" s="3"/>
      <c r="O29" s="3"/>
      <c r="P29" s="3"/>
    </row>
    <row r="30" spans="1:16" x14ac:dyDescent="0.25">
      <c r="A30" s="19">
        <v>29</v>
      </c>
      <c r="B30" s="19" t="s">
        <v>90</v>
      </c>
      <c r="C30" s="19" t="s">
        <v>690</v>
      </c>
      <c r="D30" s="19"/>
      <c r="E30" s="21">
        <v>7</v>
      </c>
      <c r="F30" s="19">
        <v>862</v>
      </c>
      <c r="G30" s="19">
        <v>660</v>
      </c>
      <c r="H30" s="19">
        <f>VLOOKUP(B30,'[1]HSN CODE  TAX RATE'!$A$1:$E$13821,5,0)</f>
        <v>28</v>
      </c>
      <c r="I30" s="19">
        <f>VLOOKUP(B30,'[1]HSN CODE  TAX RATE'!$A$1:$E$13823,2,0)</f>
        <v>84139190</v>
      </c>
      <c r="L30" s="3"/>
      <c r="M30" s="3"/>
      <c r="N30" s="3"/>
      <c r="O30" s="3"/>
      <c r="P30" s="3"/>
    </row>
    <row r="31" spans="1:16" x14ac:dyDescent="0.25">
      <c r="A31" s="19">
        <v>30</v>
      </c>
      <c r="B31" s="21" t="s">
        <v>106</v>
      </c>
      <c r="C31" s="21" t="s">
        <v>39</v>
      </c>
      <c r="D31" s="21"/>
      <c r="E31" s="21">
        <v>6</v>
      </c>
      <c r="F31" s="19">
        <v>1490</v>
      </c>
      <c r="G31" s="19">
        <v>1140</v>
      </c>
      <c r="H31" s="19">
        <f>VLOOKUP(B31,'[1]HSN CODE  TAX RATE'!$A$1:$E$13821,5,0)</f>
        <v>18</v>
      </c>
      <c r="I31" s="19">
        <f>VLOOKUP(B31,'[1]HSN CODE  TAX RATE'!$A$1:$E$13823,2,0)</f>
        <v>84219900</v>
      </c>
      <c r="L31" s="3"/>
      <c r="M31" s="3"/>
      <c r="N31" s="3"/>
      <c r="O31" s="3"/>
      <c r="P31" s="3"/>
    </row>
    <row r="32" spans="1:16" x14ac:dyDescent="0.25">
      <c r="A32" s="19">
        <v>31</v>
      </c>
      <c r="B32" s="21" t="s">
        <v>112</v>
      </c>
      <c r="C32" s="19" t="s">
        <v>193</v>
      </c>
      <c r="D32" s="19"/>
      <c r="E32" s="21">
        <v>1</v>
      </c>
      <c r="F32" s="19">
        <v>12245</v>
      </c>
      <c r="G32" s="19">
        <v>10173</v>
      </c>
      <c r="H32" s="19">
        <f>VLOOKUP(B32,'[1]HSN CODE  TAX RATE'!$A$1:$E$13821,5,0)</f>
        <v>28</v>
      </c>
      <c r="I32" s="19">
        <f>VLOOKUP(B32,'[1]HSN CODE  TAX RATE'!$A$1:$E$13823,2,0)</f>
        <v>84139190</v>
      </c>
      <c r="J32" t="s">
        <v>194</v>
      </c>
      <c r="L32" s="3"/>
      <c r="M32" s="3"/>
      <c r="N32" s="3"/>
      <c r="O32" s="3"/>
      <c r="P32" s="3"/>
    </row>
    <row r="33" spans="1:16" x14ac:dyDescent="0.25">
      <c r="A33" s="19">
        <v>32</v>
      </c>
      <c r="B33" s="19" t="s">
        <v>113</v>
      </c>
      <c r="C33" s="19" t="s">
        <v>1432</v>
      </c>
      <c r="D33" s="19"/>
      <c r="E33" s="21">
        <v>4</v>
      </c>
      <c r="F33" s="19" t="s">
        <v>4369</v>
      </c>
      <c r="G33" s="19" t="s">
        <v>4491</v>
      </c>
      <c r="H33" s="19">
        <f>VLOOKUP(B33,'[1]HSN CODE  TAX RATE'!$A$1:$E$13821,5,0)</f>
        <v>28</v>
      </c>
      <c r="I33" s="19">
        <f>VLOOKUP(B33,'[1]HSN CODE  TAX RATE'!$A$1:$E$13823,2,0)</f>
        <v>84139190</v>
      </c>
      <c r="L33" s="3"/>
      <c r="M33" s="3"/>
      <c r="N33" s="3"/>
      <c r="O33" s="3"/>
      <c r="P33" s="3"/>
    </row>
    <row r="34" spans="1:16" x14ac:dyDescent="0.25">
      <c r="A34" s="19">
        <v>33</v>
      </c>
      <c r="B34" s="19" t="s">
        <v>429</v>
      </c>
      <c r="C34" s="21" t="s">
        <v>114</v>
      </c>
      <c r="D34" s="21"/>
      <c r="E34" s="21">
        <v>24</v>
      </c>
      <c r="F34" s="19">
        <v>261</v>
      </c>
      <c r="G34" s="19">
        <v>217</v>
      </c>
      <c r="H34" s="19">
        <f>VLOOKUP(B34,'[1]HSN CODE  TAX RATE'!$A$1:$E$13821,5,0)</f>
        <v>28</v>
      </c>
      <c r="I34" s="19">
        <f>VLOOKUP(B34,'[1]HSN CODE  TAX RATE'!$A$1:$E$13823,2,0)</f>
        <v>84139190</v>
      </c>
      <c r="L34" s="3"/>
      <c r="M34" s="3"/>
      <c r="N34" s="3"/>
      <c r="O34" s="3"/>
      <c r="P34" s="3"/>
    </row>
    <row r="35" spans="1:16" x14ac:dyDescent="0.25">
      <c r="A35" s="19">
        <v>34</v>
      </c>
      <c r="B35" s="19" t="s">
        <v>145</v>
      </c>
      <c r="C35" s="19" t="s">
        <v>813</v>
      </c>
      <c r="D35" s="19"/>
      <c r="E35" s="21">
        <v>1</v>
      </c>
      <c r="F35" s="19">
        <v>12124</v>
      </c>
      <c r="G35" s="19">
        <v>10072</v>
      </c>
      <c r="H35" s="19">
        <f>VLOOKUP(B35,'[1]HSN CODE  TAX RATE'!$A$1:$E$13821,5,0)</f>
        <v>28</v>
      </c>
      <c r="I35" s="19">
        <f>VLOOKUP(B35,'[1]HSN CODE  TAX RATE'!$A$1:$E$13823,2,0)</f>
        <v>84139190</v>
      </c>
      <c r="J35" s="17" t="s">
        <v>228</v>
      </c>
      <c r="L35" s="3"/>
      <c r="M35" s="3"/>
      <c r="N35" s="3"/>
      <c r="O35" s="3"/>
      <c r="P35" s="3"/>
    </row>
    <row r="36" spans="1:16" x14ac:dyDescent="0.25">
      <c r="A36" s="19">
        <v>35</v>
      </c>
      <c r="B36" s="22" t="s">
        <v>160</v>
      </c>
      <c r="C36" s="19" t="s">
        <v>161</v>
      </c>
      <c r="D36" s="19"/>
      <c r="E36" s="19">
        <v>3</v>
      </c>
      <c r="F36" s="19" t="s">
        <v>763</v>
      </c>
      <c r="G36" s="19">
        <v>473</v>
      </c>
      <c r="H36" s="19">
        <f>VLOOKUP(B36,'[1]HSN CODE  TAX RATE'!$A$1:$E$13821,5,0)</f>
        <v>28</v>
      </c>
      <c r="I36" s="19">
        <f>VLOOKUP(B36,'[1]HSN CODE  TAX RATE'!$A$1:$E$13823,2,0)</f>
        <v>84139190</v>
      </c>
      <c r="L36" s="3"/>
      <c r="M36" s="3"/>
      <c r="N36" s="3"/>
      <c r="O36" s="3"/>
      <c r="P36" s="3"/>
    </row>
    <row r="37" spans="1:16" x14ac:dyDescent="0.25">
      <c r="A37" s="19">
        <v>36</v>
      </c>
      <c r="B37" s="19" t="s">
        <v>162</v>
      </c>
      <c r="C37" s="19" t="s">
        <v>1235</v>
      </c>
      <c r="D37" s="19"/>
      <c r="E37" s="19">
        <v>2</v>
      </c>
      <c r="F37" s="19">
        <v>13059</v>
      </c>
      <c r="G37" s="19">
        <v>10850</v>
      </c>
      <c r="H37" s="19">
        <f>VLOOKUP(B37,'[1]HSN CODE  TAX RATE'!$A$1:$E$13821,5,0)</f>
        <v>28</v>
      </c>
      <c r="I37" s="19">
        <f>VLOOKUP(B37,'[1]HSN CODE  TAX RATE'!$A$1:$E$13823,2,0)</f>
        <v>84139190</v>
      </c>
      <c r="J37" s="17" t="s">
        <v>195</v>
      </c>
      <c r="L37" s="3"/>
      <c r="M37" s="3"/>
      <c r="N37" s="3"/>
      <c r="O37" s="3"/>
      <c r="P37" s="3"/>
    </row>
    <row r="38" spans="1:16" x14ac:dyDescent="0.25">
      <c r="A38" s="19">
        <v>37</v>
      </c>
      <c r="B38" s="19" t="s">
        <v>167</v>
      </c>
      <c r="C38" s="19" t="s">
        <v>285</v>
      </c>
      <c r="D38" s="19"/>
      <c r="E38" s="19">
        <v>7</v>
      </c>
      <c r="F38" s="19">
        <v>862</v>
      </c>
      <c r="G38" s="19">
        <v>660</v>
      </c>
      <c r="H38" s="19">
        <f>VLOOKUP(B38,'[1]HSN CODE  TAX RATE'!$A$1:$E$13821,5,0)</f>
        <v>28</v>
      </c>
      <c r="I38" s="19">
        <f>VLOOKUP(B38,'[1]HSN CODE  TAX RATE'!$A$1:$E$13823,2,0)</f>
        <v>84139190</v>
      </c>
      <c r="L38" s="3"/>
      <c r="M38" s="3"/>
      <c r="N38" s="3"/>
      <c r="O38" s="3"/>
      <c r="P38" s="3"/>
    </row>
    <row r="39" spans="1:16" x14ac:dyDescent="0.25">
      <c r="A39" s="19">
        <v>38</v>
      </c>
      <c r="B39" s="19" t="s">
        <v>184</v>
      </c>
      <c r="C39" s="19" t="s">
        <v>185</v>
      </c>
      <c r="D39" s="19"/>
      <c r="E39" s="19">
        <v>14</v>
      </c>
      <c r="F39" s="19">
        <v>207</v>
      </c>
      <c r="G39" s="19">
        <v>140</v>
      </c>
      <c r="H39" s="19">
        <f>VLOOKUP(B39,'[1]HSN CODE  TAX RATE'!$A$1:$E$13821,5,0)</f>
        <v>18</v>
      </c>
      <c r="I39" s="19">
        <f>VLOOKUP(B39,'[1]HSN CODE  TAX RATE'!$A$1:$E$13823,2,0)</f>
        <v>84811000</v>
      </c>
      <c r="L39" s="3"/>
      <c r="M39" s="3"/>
      <c r="N39" s="3"/>
      <c r="O39" s="3"/>
      <c r="P39" s="3"/>
    </row>
    <row r="40" spans="1:16" x14ac:dyDescent="0.25">
      <c r="A40" s="19">
        <v>39</v>
      </c>
      <c r="B40" s="19" t="s">
        <v>103</v>
      </c>
      <c r="C40" s="19" t="s">
        <v>814</v>
      </c>
      <c r="D40" s="19"/>
      <c r="E40" s="19">
        <v>6</v>
      </c>
      <c r="F40" s="19">
        <v>687</v>
      </c>
      <c r="G40" s="19">
        <v>530</v>
      </c>
      <c r="H40" s="19">
        <f>VLOOKUP(B40,'[1]HSN CODE  TAX RATE'!$A$1:$E$13821,5,0)</f>
        <v>18</v>
      </c>
      <c r="I40" s="19">
        <f>VLOOKUP(B40,'[1]HSN CODE  TAX RATE'!$A$1:$E$13823,2,0)</f>
        <v>84219900</v>
      </c>
      <c r="L40" s="3"/>
      <c r="M40" s="3"/>
      <c r="N40" s="3"/>
      <c r="O40" s="3"/>
      <c r="P40" s="3"/>
    </row>
    <row r="41" spans="1:16" x14ac:dyDescent="0.25">
      <c r="A41" s="19">
        <v>40</v>
      </c>
      <c r="B41" s="19" t="s">
        <v>212</v>
      </c>
      <c r="C41" s="19" t="s">
        <v>815</v>
      </c>
      <c r="D41" s="19"/>
      <c r="E41" s="19">
        <v>0</v>
      </c>
      <c r="F41" s="19">
        <v>497</v>
      </c>
      <c r="G41" s="19">
        <v>430</v>
      </c>
      <c r="H41" s="19">
        <f>VLOOKUP(B41,'[1]HSN CODE  TAX RATE'!$A$1:$E$13821,5,0)</f>
        <v>18</v>
      </c>
      <c r="I41" s="19">
        <f>VLOOKUP(B41,'[1]HSN CODE  TAX RATE'!$A$1:$E$13823,2,0)</f>
        <v>84219900</v>
      </c>
      <c r="L41" s="3"/>
      <c r="M41" s="3"/>
      <c r="N41" s="3"/>
      <c r="O41" s="3"/>
      <c r="P41" s="3"/>
    </row>
    <row r="42" spans="1:16" x14ac:dyDescent="0.25">
      <c r="A42" s="19">
        <v>41</v>
      </c>
      <c r="B42" s="19" t="s">
        <v>217</v>
      </c>
      <c r="C42" s="28" t="s">
        <v>1713</v>
      </c>
      <c r="D42" s="28"/>
      <c r="E42" s="19">
        <v>29</v>
      </c>
      <c r="F42" s="19">
        <v>99</v>
      </c>
      <c r="G42" s="19">
        <v>77</v>
      </c>
      <c r="H42" s="19">
        <f>VLOOKUP(B42,'[1]HSN CODE  TAX RATE'!$A$1:$E$13821,5,0)</f>
        <v>18</v>
      </c>
      <c r="I42" s="19">
        <f>VLOOKUP(B42,'[1]HSN CODE  TAX RATE'!$A$1:$E$13823,2,0)</f>
        <v>84219900</v>
      </c>
      <c r="L42" s="3"/>
      <c r="M42" s="3"/>
      <c r="N42" s="3"/>
      <c r="O42" s="3"/>
      <c r="P42" s="3"/>
    </row>
    <row r="43" spans="1:16" x14ac:dyDescent="0.25">
      <c r="A43" s="19">
        <v>42</v>
      </c>
      <c r="B43" s="19" t="s">
        <v>226</v>
      </c>
      <c r="C43" s="19" t="s">
        <v>227</v>
      </c>
      <c r="D43" s="19"/>
      <c r="E43" s="19">
        <v>0</v>
      </c>
      <c r="F43" s="19">
        <v>75</v>
      </c>
      <c r="G43" s="19">
        <v>59</v>
      </c>
      <c r="H43" s="19">
        <f>VLOOKUP(B43,'[1]HSN CODE  TAX RATE'!$A$1:$E$13821,5,0)</f>
        <v>28</v>
      </c>
      <c r="I43" s="19">
        <f>VLOOKUP(B43,'[1]HSN CODE  TAX RATE'!$A$1:$E$13823,2,0)</f>
        <v>84818030</v>
      </c>
      <c r="L43" s="3"/>
      <c r="M43" s="3"/>
      <c r="N43" s="3"/>
      <c r="O43" s="3"/>
      <c r="P43" s="3"/>
    </row>
    <row r="44" spans="1:16" x14ac:dyDescent="0.25">
      <c r="A44" s="19">
        <v>43</v>
      </c>
      <c r="B44" s="19" t="s">
        <v>279</v>
      </c>
      <c r="C44" s="19" t="s">
        <v>55</v>
      </c>
      <c r="D44" s="19"/>
      <c r="E44" s="19">
        <v>0</v>
      </c>
      <c r="F44" s="19">
        <v>9756</v>
      </c>
      <c r="G44" s="19">
        <v>8419</v>
      </c>
      <c r="H44" s="19" t="e">
        <f>VLOOKUP(B44,'[1]HSN CODE  TAX RATE'!$A$1:$E$13821,5,0)</f>
        <v>#N/A</v>
      </c>
      <c r="I44" s="19" t="e">
        <f>VLOOKUP(B44,'[1]HSN CODE  TAX RATE'!$A$1:$E$13823,2,0)</f>
        <v>#N/A</v>
      </c>
      <c r="L44" s="3"/>
      <c r="M44" s="3"/>
      <c r="N44" s="3"/>
      <c r="O44" s="3"/>
      <c r="P44" s="3"/>
    </row>
    <row r="45" spans="1:16" x14ac:dyDescent="0.25">
      <c r="A45" s="19">
        <v>44</v>
      </c>
      <c r="B45" s="19" t="s">
        <v>281</v>
      </c>
      <c r="C45" s="19" t="s">
        <v>816</v>
      </c>
      <c r="D45" s="19"/>
      <c r="E45" s="19">
        <v>0</v>
      </c>
      <c r="F45" s="19">
        <v>2162</v>
      </c>
      <c r="G45" s="19">
        <v>1796</v>
      </c>
      <c r="H45" s="19">
        <f>VLOOKUP(B45,'[1]HSN CODE  TAX RATE'!$A$1:$E$13821,5,0)</f>
        <v>28</v>
      </c>
      <c r="I45" s="19">
        <f>VLOOKUP(B45,'[1]HSN CODE  TAX RATE'!$A$1:$E$13823,2,0)</f>
        <v>84099920</v>
      </c>
      <c r="L45" s="3"/>
      <c r="M45" s="3"/>
      <c r="N45" s="3"/>
      <c r="O45" s="3"/>
      <c r="P45" s="3"/>
    </row>
    <row r="46" spans="1:16" x14ac:dyDescent="0.25">
      <c r="A46" s="19">
        <v>45</v>
      </c>
      <c r="B46" s="19" t="s">
        <v>283</v>
      </c>
      <c r="C46" s="19" t="s">
        <v>284</v>
      </c>
      <c r="D46" s="19"/>
      <c r="E46" s="19">
        <v>0</v>
      </c>
      <c r="F46" s="19">
        <v>5356</v>
      </c>
      <c r="G46" s="19">
        <v>5263</v>
      </c>
      <c r="H46" s="19">
        <f>VLOOKUP(B46,'[1]HSN CODE  TAX RATE'!$A$1:$E$13821,5,0)</f>
        <v>28</v>
      </c>
      <c r="I46" s="19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 x14ac:dyDescent="0.25">
      <c r="A47" s="19">
        <v>46</v>
      </c>
      <c r="B47" s="19" t="s">
        <v>298</v>
      </c>
      <c r="C47" s="19" t="s">
        <v>299</v>
      </c>
      <c r="D47" s="19"/>
      <c r="E47" s="19">
        <v>0</v>
      </c>
      <c r="F47" s="19" t="s">
        <v>691</v>
      </c>
      <c r="G47" s="19">
        <v>1476</v>
      </c>
      <c r="H47" s="19">
        <f>VLOOKUP(B47,'[1]HSN CODE  TAX RATE'!$A$1:$E$13821,5,0)</f>
        <v>28</v>
      </c>
      <c r="I47" s="19">
        <f>VLOOKUP(B47,'[1]HSN CODE  TAX RATE'!$A$1:$E$13823,2,0)</f>
        <v>84139190</v>
      </c>
      <c r="L47" s="3"/>
      <c r="M47" s="3"/>
      <c r="N47" s="3"/>
      <c r="O47" s="3"/>
      <c r="P47" s="3"/>
    </row>
    <row r="48" spans="1:16" x14ac:dyDescent="0.25">
      <c r="A48" s="19">
        <v>47</v>
      </c>
      <c r="B48" s="19" t="s">
        <v>300</v>
      </c>
      <c r="C48" s="19" t="s">
        <v>301</v>
      </c>
      <c r="D48" s="19"/>
      <c r="E48" s="19">
        <v>10</v>
      </c>
      <c r="F48" s="19">
        <v>29</v>
      </c>
      <c r="G48" s="19">
        <v>24</v>
      </c>
      <c r="H48" s="19">
        <f>VLOOKUP(B48,'[1]HSN CODE  TAX RATE'!$A$1:$E$13821,5,0)</f>
        <v>28</v>
      </c>
      <c r="I48" s="19">
        <f>VLOOKUP(B48,'[1]HSN CODE  TAX RATE'!$A$1:$E$13823,2,0)</f>
        <v>84099920</v>
      </c>
      <c r="L48" s="3"/>
      <c r="M48" s="3"/>
      <c r="N48" s="3"/>
      <c r="O48" s="3"/>
      <c r="P48" s="3"/>
    </row>
    <row r="49" spans="1:16" x14ac:dyDescent="0.25">
      <c r="A49" s="19">
        <v>48</v>
      </c>
      <c r="B49" s="19" t="s">
        <v>302</v>
      </c>
      <c r="C49" s="19" t="s">
        <v>303</v>
      </c>
      <c r="D49" s="19"/>
      <c r="E49" s="19">
        <v>20</v>
      </c>
      <c r="F49" s="19">
        <v>11.2</v>
      </c>
      <c r="G49" s="19">
        <v>9.3000000000000007</v>
      </c>
      <c r="H49" s="19">
        <f>VLOOKUP(B49,'[1]HSN CODE  TAX RATE'!$A$1:$E$13821,5,0)</f>
        <v>28</v>
      </c>
      <c r="I49" s="19">
        <f>VLOOKUP(B49,'[1]HSN CODE  TAX RATE'!$A$1:$E$13823,2,0)</f>
        <v>84099920</v>
      </c>
      <c r="L49" s="3"/>
      <c r="M49" s="3"/>
      <c r="N49" s="3"/>
      <c r="O49" s="3"/>
      <c r="P49" s="3"/>
    </row>
    <row r="50" spans="1:16" x14ac:dyDescent="0.25">
      <c r="A50" s="19">
        <v>49</v>
      </c>
      <c r="B50" s="19" t="s">
        <v>304</v>
      </c>
      <c r="C50" s="19" t="s">
        <v>305</v>
      </c>
      <c r="D50" s="19"/>
      <c r="E50" s="19">
        <v>3</v>
      </c>
      <c r="F50" s="19">
        <v>415</v>
      </c>
      <c r="G50" s="19">
        <v>358</v>
      </c>
      <c r="H50" s="19">
        <f>VLOOKUP(B50,'[1]HSN CODE  TAX RATE'!$A$1:$E$13821,5,0)</f>
        <v>28</v>
      </c>
      <c r="I50" s="19">
        <f>VLOOKUP(B50,'[1]HSN CODE  TAX RATE'!$A$1:$E$13823,2,0)</f>
        <v>84139190</v>
      </c>
      <c r="L50" s="3"/>
      <c r="M50" s="3"/>
      <c r="N50" s="3"/>
      <c r="O50" s="3"/>
      <c r="P50" s="3"/>
    </row>
    <row r="51" spans="1:16" x14ac:dyDescent="0.25">
      <c r="A51" s="19">
        <v>50</v>
      </c>
      <c r="B51" s="19" t="s">
        <v>306</v>
      </c>
      <c r="C51" s="19" t="s">
        <v>305</v>
      </c>
      <c r="D51" s="19"/>
      <c r="E51" s="19">
        <v>0</v>
      </c>
      <c r="F51" s="19">
        <v>415</v>
      </c>
      <c r="G51" s="19">
        <v>358</v>
      </c>
      <c r="H51" s="19">
        <f>VLOOKUP(B51,'[1]HSN CODE  TAX RATE'!$A$1:$E$13821,5,0)</f>
        <v>28</v>
      </c>
      <c r="I51" s="19">
        <f>VLOOKUP(B51,'[1]HSN CODE  TAX RATE'!$A$1:$E$13823,2,0)</f>
        <v>84139190</v>
      </c>
      <c r="L51" s="3"/>
      <c r="M51" s="3"/>
      <c r="N51" s="3"/>
      <c r="O51" s="3"/>
      <c r="P51" s="3"/>
    </row>
    <row r="52" spans="1:16" x14ac:dyDescent="0.25">
      <c r="A52" s="19">
        <v>51</v>
      </c>
      <c r="B52" s="19" t="s">
        <v>319</v>
      </c>
      <c r="C52" s="19" t="s">
        <v>307</v>
      </c>
      <c r="D52" s="19"/>
      <c r="E52" s="19">
        <v>3</v>
      </c>
      <c r="F52" s="19">
        <v>144</v>
      </c>
      <c r="G52" s="19">
        <v>128</v>
      </c>
      <c r="H52" s="19">
        <f>VLOOKUP(B52,'[1]HSN CODE  TAX RATE'!$A$1:$E$13821,5,0)</f>
        <v>28</v>
      </c>
      <c r="I52" s="19">
        <f>VLOOKUP(B52,'[1]HSN CODE  TAX RATE'!$A$1:$E$13823,2,0)</f>
        <v>84139190</v>
      </c>
      <c r="L52" s="3"/>
      <c r="M52" s="3"/>
      <c r="N52" s="3"/>
      <c r="O52" s="3"/>
      <c r="P52" s="3"/>
    </row>
    <row r="53" spans="1:16" x14ac:dyDescent="0.25">
      <c r="A53" s="19">
        <v>52</v>
      </c>
      <c r="B53" s="19" t="s">
        <v>308</v>
      </c>
      <c r="C53" s="19" t="s">
        <v>309</v>
      </c>
      <c r="D53" s="19"/>
      <c r="E53" s="19">
        <v>0</v>
      </c>
      <c r="F53" s="19"/>
      <c r="G53" s="19">
        <v>110</v>
      </c>
      <c r="H53" s="19" t="e">
        <f>VLOOKUP(B53,'[1]HSN CODE  TAX RATE'!$A$1:$E$13821,5,0)</f>
        <v>#N/A</v>
      </c>
      <c r="I53" s="19" t="e">
        <f>VLOOKUP(B53,'[1]HSN CODE  TAX RATE'!$A$1:$E$13823,2,0)</f>
        <v>#N/A</v>
      </c>
      <c r="L53" s="3"/>
      <c r="M53" s="3"/>
      <c r="N53" s="3"/>
      <c r="O53" s="3"/>
      <c r="P53" s="3"/>
    </row>
    <row r="54" spans="1:16" x14ac:dyDescent="0.25">
      <c r="A54" s="19">
        <v>53</v>
      </c>
      <c r="B54" s="19" t="s">
        <v>320</v>
      </c>
      <c r="C54" s="19" t="s">
        <v>310</v>
      </c>
      <c r="D54" s="19"/>
      <c r="E54" s="19">
        <v>0</v>
      </c>
      <c r="F54" s="19">
        <v>149</v>
      </c>
      <c r="G54" s="19">
        <v>129</v>
      </c>
      <c r="H54" s="19">
        <f>VLOOKUP(B54,'[1]HSN CODE  TAX RATE'!$A$1:$E$13821,5,0)</f>
        <v>28</v>
      </c>
      <c r="I54" s="19">
        <f>VLOOKUP(B54,'[1]HSN CODE  TAX RATE'!$A$1:$E$13823,2,0)</f>
        <v>84139190</v>
      </c>
      <c r="L54" s="3"/>
      <c r="M54" s="3"/>
      <c r="N54" s="3"/>
      <c r="O54" s="3"/>
      <c r="P54" s="3"/>
    </row>
    <row r="55" spans="1:16" x14ac:dyDescent="0.25">
      <c r="A55" s="19">
        <v>54</v>
      </c>
      <c r="B55" s="19" t="s">
        <v>311</v>
      </c>
      <c r="C55" s="19" t="s">
        <v>312</v>
      </c>
      <c r="D55" s="19"/>
      <c r="E55" s="19">
        <v>1</v>
      </c>
      <c r="F55" s="19">
        <v>95</v>
      </c>
      <c r="G55" s="19">
        <v>67</v>
      </c>
      <c r="H55" s="19">
        <f>VLOOKUP(B55,'[1]HSN CODE  TAX RATE'!$A$1:$E$13821,5,0)</f>
        <v>28</v>
      </c>
      <c r="I55" s="19">
        <f>VLOOKUP(B55,'[1]HSN CODE  TAX RATE'!$A$1:$E$13823,2,0)</f>
        <v>84139190</v>
      </c>
      <c r="L55" s="3"/>
      <c r="M55" s="3"/>
      <c r="N55" s="3"/>
      <c r="O55" s="3"/>
      <c r="P55" s="3"/>
    </row>
    <row r="56" spans="1:16" x14ac:dyDescent="0.25">
      <c r="A56" s="19">
        <v>55</v>
      </c>
      <c r="B56" s="19" t="s">
        <v>313</v>
      </c>
      <c r="C56" s="19" t="s">
        <v>314</v>
      </c>
      <c r="D56" s="19"/>
      <c r="E56" s="19">
        <v>2</v>
      </c>
      <c r="F56" s="19">
        <v>878</v>
      </c>
      <c r="G56" s="19">
        <v>730</v>
      </c>
      <c r="H56" s="19">
        <f>VLOOKUP(B56,'[1]HSN CODE  TAX RATE'!$A$1:$E$13821,5,0)</f>
        <v>28</v>
      </c>
      <c r="I56" s="19">
        <f>VLOOKUP(B56,'[1]HSN CODE  TAX RATE'!$A$1:$E$13823,2,0)</f>
        <v>84139190</v>
      </c>
      <c r="L56" s="3"/>
      <c r="M56" s="3"/>
      <c r="N56" s="3"/>
      <c r="O56" s="3"/>
      <c r="P56" s="3"/>
    </row>
    <row r="57" spans="1:16" x14ac:dyDescent="0.25">
      <c r="A57" s="19">
        <v>56</v>
      </c>
      <c r="B57" s="19" t="s">
        <v>315</v>
      </c>
      <c r="C57" s="19" t="s">
        <v>316</v>
      </c>
      <c r="D57" s="19"/>
      <c r="E57" s="19">
        <v>0</v>
      </c>
      <c r="F57" s="19"/>
      <c r="G57" s="19">
        <v>367</v>
      </c>
      <c r="H57" s="19">
        <f>VLOOKUP(B57,'[1]HSN CODE  TAX RATE'!$A$1:$E$13821,5,0)</f>
        <v>28</v>
      </c>
      <c r="I57" s="19">
        <f>VLOOKUP(B57,'[1]HSN CODE  TAX RATE'!$A$1:$E$13823,2,0)</f>
        <v>84139190</v>
      </c>
      <c r="L57" s="3"/>
      <c r="M57" s="3"/>
      <c r="N57" s="3"/>
      <c r="O57" s="3"/>
      <c r="P57" s="3"/>
    </row>
    <row r="58" spans="1:16" x14ac:dyDescent="0.25">
      <c r="A58" s="19">
        <v>57</v>
      </c>
      <c r="B58" s="19" t="s">
        <v>317</v>
      </c>
      <c r="C58" s="19" t="s">
        <v>382</v>
      </c>
      <c r="D58" s="19"/>
      <c r="E58" s="19">
        <v>2</v>
      </c>
      <c r="F58" s="19">
        <v>1206</v>
      </c>
      <c r="G58" s="19">
        <v>995</v>
      </c>
      <c r="H58" s="19">
        <f>VLOOKUP(B58,'[1]HSN CODE  TAX RATE'!$A$1:$E$13821,5,0)</f>
        <v>28</v>
      </c>
      <c r="I58" s="19">
        <f>VLOOKUP(B58,'[1]HSN CODE  TAX RATE'!$A$1:$E$13823,2,0)</f>
        <v>84099920</v>
      </c>
      <c r="L58" s="3"/>
      <c r="M58" s="3"/>
      <c r="N58" s="3"/>
      <c r="O58" s="3"/>
      <c r="P58" s="3"/>
    </row>
    <row r="59" spans="1:16" x14ac:dyDescent="0.25">
      <c r="A59" s="19">
        <v>58</v>
      </c>
      <c r="B59" s="19" t="s">
        <v>329</v>
      </c>
      <c r="C59" s="19" t="s">
        <v>330</v>
      </c>
      <c r="D59" s="19"/>
      <c r="E59" s="19">
        <v>10</v>
      </c>
      <c r="F59" s="19">
        <v>68</v>
      </c>
      <c r="G59" s="19">
        <v>59</v>
      </c>
      <c r="H59" s="19">
        <f>VLOOKUP(B59,'[1]HSN CODE  TAX RATE'!$A$1:$E$13821,5,0)</f>
        <v>28</v>
      </c>
      <c r="I59" s="19">
        <f>VLOOKUP(B59,'[1]HSN CODE  TAX RATE'!$A$1:$E$13823,2,0)</f>
        <v>84139190</v>
      </c>
      <c r="L59" s="3"/>
      <c r="M59" s="3"/>
      <c r="N59" s="3"/>
      <c r="O59" s="3"/>
      <c r="P59" s="3"/>
    </row>
    <row r="60" spans="1:16" x14ac:dyDescent="0.25">
      <c r="A60" s="19">
        <v>59</v>
      </c>
      <c r="B60" s="19" t="s">
        <v>331</v>
      </c>
      <c r="C60" s="19" t="s">
        <v>332</v>
      </c>
      <c r="D60" s="19"/>
      <c r="E60" s="19">
        <v>10</v>
      </c>
      <c r="F60" s="19">
        <v>90</v>
      </c>
      <c r="G60" s="19">
        <v>78</v>
      </c>
      <c r="H60" s="19">
        <f>VLOOKUP(B60,'[1]HSN CODE  TAX RATE'!$A$1:$E$13821,5,0)</f>
        <v>28</v>
      </c>
      <c r="I60" s="19">
        <f>VLOOKUP(B60,'[1]HSN CODE  TAX RATE'!$A$1:$E$13823,2,0)</f>
        <v>84139190</v>
      </c>
      <c r="L60" s="3"/>
      <c r="M60" s="3"/>
      <c r="N60" s="3"/>
      <c r="O60" s="3"/>
      <c r="P60" s="3"/>
    </row>
    <row r="61" spans="1:16" x14ac:dyDescent="0.25">
      <c r="A61" s="19">
        <v>60</v>
      </c>
      <c r="B61" s="19" t="s">
        <v>166</v>
      </c>
      <c r="C61" s="19" t="s">
        <v>817</v>
      </c>
      <c r="D61" s="19"/>
      <c r="E61" s="19">
        <v>0</v>
      </c>
      <c r="F61" s="19" t="s">
        <v>704</v>
      </c>
      <c r="G61" s="19">
        <v>3072</v>
      </c>
      <c r="H61" s="19">
        <f>VLOOKUP(B61,'[1]HSN CODE  TAX RATE'!$A$1:$E$13821,5,0)</f>
        <v>28</v>
      </c>
      <c r="I61" s="19">
        <f>VLOOKUP(B61,'[1]HSN CODE  TAX RATE'!$A$1:$E$13823,2,0)</f>
        <v>84139190</v>
      </c>
      <c r="J61" s="15"/>
      <c r="K61" s="7"/>
      <c r="L61" s="3"/>
      <c r="M61" s="3"/>
      <c r="N61" s="3"/>
      <c r="O61" s="3"/>
      <c r="P61" s="3"/>
    </row>
    <row r="62" spans="1:16" x14ac:dyDescent="0.25">
      <c r="A62" s="19">
        <v>61</v>
      </c>
      <c r="B62" s="19" t="s">
        <v>345</v>
      </c>
      <c r="C62" s="19" t="s">
        <v>346</v>
      </c>
      <c r="D62" s="19"/>
      <c r="E62" s="23">
        <v>4</v>
      </c>
      <c r="F62" s="19">
        <v>444</v>
      </c>
      <c r="G62" s="19">
        <v>270</v>
      </c>
      <c r="H62" s="19">
        <f>VLOOKUP(B62,'[1]HSN CODE  TAX RATE'!$A$1:$E$13821,5,0)</f>
        <v>18</v>
      </c>
      <c r="I62" s="19">
        <f>VLOOKUP(B62,'[1]HSN CODE  TAX RATE'!$A$1:$E$13823,2,0)</f>
        <v>84139100</v>
      </c>
      <c r="L62" s="3"/>
      <c r="M62" s="3"/>
      <c r="N62" s="3"/>
      <c r="O62" s="3"/>
      <c r="P62" s="3"/>
    </row>
    <row r="63" spans="1:16" x14ac:dyDescent="0.25">
      <c r="A63" s="19">
        <v>62</v>
      </c>
      <c r="B63" s="8" t="s">
        <v>383</v>
      </c>
      <c r="C63" s="27" t="s">
        <v>384</v>
      </c>
      <c r="D63" s="27"/>
      <c r="E63" s="23">
        <v>6</v>
      </c>
      <c r="F63" s="23">
        <v>145</v>
      </c>
      <c r="G63" s="23">
        <v>96</v>
      </c>
      <c r="H63" s="19" t="e">
        <f>VLOOKUP(B63,'[1]HSN CODE  TAX RATE'!$A$1:$E$13821,5,0)</f>
        <v>#N/A</v>
      </c>
      <c r="I63" s="19" t="e">
        <f>VLOOKUP(B63,'[1]HSN CODE  TAX RATE'!$A$1:$E$13823,2,0)</f>
        <v>#N/A</v>
      </c>
      <c r="L63" s="3"/>
      <c r="M63" s="3"/>
      <c r="N63" s="3"/>
      <c r="O63" s="3"/>
      <c r="P63" s="3"/>
    </row>
    <row r="64" spans="1:16" x14ac:dyDescent="0.25">
      <c r="A64" s="19">
        <v>63</v>
      </c>
      <c r="B64" s="8" t="s">
        <v>425</v>
      </c>
      <c r="C64" s="27" t="s">
        <v>426</v>
      </c>
      <c r="D64" s="27"/>
      <c r="E64" s="23">
        <v>3</v>
      </c>
      <c r="F64" s="23">
        <v>9987</v>
      </c>
      <c r="G64" s="23">
        <v>8296</v>
      </c>
      <c r="H64" s="19">
        <f>VLOOKUP(B64,'[1]HSN CODE  TAX RATE'!$A$1:$E$13821,5,0)</f>
        <v>28</v>
      </c>
      <c r="I64" s="19">
        <f>VLOOKUP(B64,'[1]HSN CODE  TAX RATE'!$A$1:$E$13823,2,0)</f>
        <v>84099930</v>
      </c>
      <c r="L64" s="3"/>
      <c r="M64" s="3"/>
      <c r="N64" s="3"/>
      <c r="O64" s="3"/>
      <c r="P64" s="3"/>
    </row>
    <row r="65" spans="1:16" x14ac:dyDescent="0.25">
      <c r="A65" s="19">
        <v>64</v>
      </c>
      <c r="B65" s="8" t="s">
        <v>427</v>
      </c>
      <c r="C65" s="27" t="s">
        <v>428</v>
      </c>
      <c r="D65" s="27"/>
      <c r="E65" s="23">
        <v>0</v>
      </c>
      <c r="F65" s="23" t="s">
        <v>1605</v>
      </c>
      <c r="G65" s="23" t="s">
        <v>1604</v>
      </c>
      <c r="L65" s="3"/>
      <c r="M65" s="3"/>
      <c r="N65" s="3"/>
      <c r="O65" s="3"/>
      <c r="P65" s="3"/>
    </row>
    <row r="66" spans="1:16" x14ac:dyDescent="0.25">
      <c r="A66" s="19">
        <v>65</v>
      </c>
      <c r="B66" s="8" t="s">
        <v>432</v>
      </c>
      <c r="C66" s="27" t="s">
        <v>433</v>
      </c>
      <c r="D66" s="27"/>
      <c r="E66" s="23">
        <v>0</v>
      </c>
      <c r="F66" s="23">
        <v>2180</v>
      </c>
      <c r="G66" s="23">
        <v>1964</v>
      </c>
      <c r="L66" s="3"/>
      <c r="M66" s="3"/>
      <c r="N66" s="3"/>
      <c r="O66" s="3"/>
      <c r="P66" s="3"/>
    </row>
    <row r="67" spans="1:16" x14ac:dyDescent="0.25">
      <c r="A67" s="19">
        <v>66</v>
      </c>
      <c r="B67" s="8" t="s">
        <v>454</v>
      </c>
      <c r="C67" s="27" t="s">
        <v>455</v>
      </c>
      <c r="D67" s="27"/>
      <c r="E67" s="23">
        <v>10</v>
      </c>
      <c r="F67" s="23">
        <v>10.7</v>
      </c>
      <c r="G67" s="23">
        <v>9.1999999999999993</v>
      </c>
      <c r="L67" s="3"/>
      <c r="M67" s="3"/>
      <c r="N67" s="3"/>
      <c r="O67" s="3"/>
      <c r="P67" s="3"/>
    </row>
    <row r="68" spans="1:16" x14ac:dyDescent="0.25">
      <c r="A68" s="19">
        <v>67</v>
      </c>
      <c r="B68" s="8" t="s">
        <v>473</v>
      </c>
      <c r="C68" s="27" t="s">
        <v>474</v>
      </c>
      <c r="D68" s="27"/>
      <c r="E68" s="23">
        <v>0</v>
      </c>
      <c r="F68" s="23">
        <v>6792</v>
      </c>
      <c r="G68" s="23">
        <v>5788</v>
      </c>
      <c r="L68" s="3"/>
      <c r="M68" s="3"/>
      <c r="N68" s="3"/>
      <c r="O68" s="3"/>
      <c r="P68" s="3"/>
    </row>
    <row r="69" spans="1:16" x14ac:dyDescent="0.25">
      <c r="A69" s="19">
        <v>68</v>
      </c>
      <c r="B69" s="8" t="s">
        <v>515</v>
      </c>
      <c r="C69" s="27" t="s">
        <v>516</v>
      </c>
      <c r="D69" s="27"/>
      <c r="E69" s="23">
        <v>0</v>
      </c>
      <c r="F69" s="23">
        <v>3527</v>
      </c>
      <c r="G69" s="23">
        <v>2930</v>
      </c>
      <c r="L69" s="3"/>
      <c r="M69" s="3"/>
      <c r="N69" s="3"/>
      <c r="O69" s="3"/>
      <c r="P69" s="3"/>
    </row>
    <row r="70" spans="1:16" x14ac:dyDescent="0.25">
      <c r="A70" s="19">
        <v>69</v>
      </c>
      <c r="B70" s="8" t="s">
        <v>538</v>
      </c>
      <c r="C70" s="27" t="s">
        <v>539</v>
      </c>
      <c r="D70" s="27"/>
      <c r="E70" s="23">
        <v>1</v>
      </c>
      <c r="F70" s="23">
        <v>528</v>
      </c>
      <c r="G70" s="23">
        <v>563</v>
      </c>
      <c r="L70" s="3"/>
      <c r="M70" s="3"/>
      <c r="N70" s="3"/>
      <c r="O70" s="3"/>
    </row>
    <row r="71" spans="1:16" x14ac:dyDescent="0.25">
      <c r="A71" s="19">
        <v>70</v>
      </c>
      <c r="B71" s="8" t="s">
        <v>540</v>
      </c>
      <c r="C71" s="27" t="s">
        <v>541</v>
      </c>
      <c r="D71" s="27"/>
      <c r="E71" s="23">
        <v>1</v>
      </c>
      <c r="F71" s="23">
        <v>1036</v>
      </c>
      <c r="G71" s="23">
        <v>929</v>
      </c>
      <c r="L71" s="3"/>
      <c r="M71" s="3"/>
      <c r="N71" s="3"/>
      <c r="O71" s="3"/>
    </row>
    <row r="72" spans="1:16" x14ac:dyDescent="0.25">
      <c r="A72" s="19">
        <v>71</v>
      </c>
      <c r="B72" s="8" t="s">
        <v>542</v>
      </c>
      <c r="C72" s="27" t="s">
        <v>543</v>
      </c>
      <c r="D72" s="27"/>
      <c r="E72" s="23">
        <v>2</v>
      </c>
      <c r="F72" s="23" t="s">
        <v>670</v>
      </c>
      <c r="G72" s="23">
        <v>3200</v>
      </c>
      <c r="L72" s="3"/>
      <c r="M72" s="3"/>
      <c r="N72" s="3"/>
      <c r="O72" s="3"/>
    </row>
    <row r="73" spans="1:16" x14ac:dyDescent="0.25">
      <c r="A73" s="19">
        <v>72</v>
      </c>
      <c r="B73" s="8" t="s">
        <v>547</v>
      </c>
      <c r="C73" s="27" t="s">
        <v>548</v>
      </c>
      <c r="D73" s="27"/>
      <c r="E73" s="23">
        <v>0</v>
      </c>
      <c r="F73" s="23">
        <v>7780</v>
      </c>
      <c r="G73" s="23">
        <v>6502</v>
      </c>
      <c r="L73" s="3"/>
      <c r="M73" s="3"/>
      <c r="N73" s="3"/>
      <c r="O73" s="3"/>
    </row>
    <row r="74" spans="1:16" x14ac:dyDescent="0.25">
      <c r="A74" s="19">
        <v>73</v>
      </c>
      <c r="B74" s="8">
        <v>28363769</v>
      </c>
      <c r="C74" s="27" t="s">
        <v>562</v>
      </c>
      <c r="D74" s="27"/>
      <c r="E74" s="23">
        <v>0</v>
      </c>
      <c r="F74" s="23">
        <v>1030</v>
      </c>
      <c r="G74" s="23">
        <v>790</v>
      </c>
      <c r="L74" s="3"/>
      <c r="M74" s="3"/>
      <c r="N74" s="3"/>
      <c r="O74" s="3"/>
    </row>
    <row r="75" spans="1:16" x14ac:dyDescent="0.25">
      <c r="A75" s="19">
        <v>74</v>
      </c>
      <c r="B75" s="8" t="s">
        <v>565</v>
      </c>
      <c r="C75" s="27" t="s">
        <v>717</v>
      </c>
      <c r="D75" s="27"/>
      <c r="E75" s="23">
        <v>0</v>
      </c>
      <c r="F75" s="23">
        <v>4372</v>
      </c>
      <c r="G75" s="23">
        <v>4087</v>
      </c>
      <c r="L75" s="3"/>
      <c r="M75" s="3"/>
      <c r="N75" s="3"/>
      <c r="O75" s="3"/>
    </row>
    <row r="76" spans="1:16" x14ac:dyDescent="0.25">
      <c r="A76" s="19">
        <v>75</v>
      </c>
      <c r="B76" s="4" t="s">
        <v>647</v>
      </c>
      <c r="C76" s="11" t="s">
        <v>648</v>
      </c>
      <c r="E76" s="26">
        <v>3</v>
      </c>
      <c r="F76" s="26">
        <v>1151</v>
      </c>
      <c r="G76" s="26">
        <v>960</v>
      </c>
      <c r="L76" s="3"/>
      <c r="M76" s="3"/>
      <c r="N76" s="3"/>
      <c r="O76" s="3"/>
    </row>
    <row r="77" spans="1:16" x14ac:dyDescent="0.25">
      <c r="A77" s="19">
        <v>76</v>
      </c>
      <c r="B77" s="4">
        <v>28277347</v>
      </c>
      <c r="C77" s="11" t="s">
        <v>662</v>
      </c>
      <c r="E77" s="26">
        <v>1</v>
      </c>
      <c r="F77" s="26">
        <v>11277</v>
      </c>
      <c r="G77" s="26">
        <v>9370</v>
      </c>
      <c r="L77" s="3"/>
      <c r="M77" s="3"/>
      <c r="N77" s="3"/>
      <c r="O77" s="3"/>
    </row>
    <row r="78" spans="1:16" x14ac:dyDescent="0.25">
      <c r="A78" s="19">
        <v>77</v>
      </c>
      <c r="B78" s="4" t="s">
        <v>680</v>
      </c>
      <c r="C78" s="11" t="s">
        <v>681</v>
      </c>
      <c r="E78" s="26">
        <v>2</v>
      </c>
      <c r="F78" s="26">
        <v>6379</v>
      </c>
      <c r="G78" s="26">
        <v>5300</v>
      </c>
      <c r="H78" s="3" t="s">
        <v>682</v>
      </c>
      <c r="L78" s="3"/>
      <c r="M78" s="3"/>
      <c r="N78" s="3"/>
      <c r="O78" s="3"/>
    </row>
    <row r="79" spans="1:16" x14ac:dyDescent="0.25">
      <c r="A79" s="19">
        <v>78</v>
      </c>
      <c r="B79" s="4" t="s">
        <v>684</v>
      </c>
      <c r="C79" s="11" t="s">
        <v>685</v>
      </c>
      <c r="E79" s="26">
        <v>3</v>
      </c>
      <c r="F79" s="26">
        <v>528</v>
      </c>
      <c r="G79" s="26">
        <v>440</v>
      </c>
      <c r="L79" s="3"/>
      <c r="M79" s="3"/>
      <c r="N79" s="3"/>
      <c r="O79" s="3"/>
    </row>
    <row r="80" spans="1:16" x14ac:dyDescent="0.25">
      <c r="A80" s="19">
        <v>79</v>
      </c>
      <c r="B80" s="4" t="s">
        <v>686</v>
      </c>
      <c r="C80" s="11" t="s">
        <v>3204</v>
      </c>
      <c r="E80" s="26">
        <v>0</v>
      </c>
      <c r="F80" s="26" t="s">
        <v>2225</v>
      </c>
      <c r="G80" s="26" t="s">
        <v>2314</v>
      </c>
      <c r="L80" s="3"/>
      <c r="M80" s="3"/>
      <c r="N80" s="3"/>
      <c r="O80" s="3"/>
    </row>
    <row r="81" spans="1:15" x14ac:dyDescent="0.25">
      <c r="A81" s="19">
        <v>80</v>
      </c>
      <c r="B81" s="4" t="s">
        <v>687</v>
      </c>
      <c r="C81" s="11" t="s">
        <v>828</v>
      </c>
      <c r="E81" s="26">
        <v>9</v>
      </c>
      <c r="F81" s="26" t="s">
        <v>2226</v>
      </c>
      <c r="G81" s="26" t="s">
        <v>2247</v>
      </c>
      <c r="L81" s="3"/>
      <c r="M81" s="3"/>
      <c r="N81" s="3"/>
      <c r="O81" s="3"/>
    </row>
    <row r="82" spans="1:15" x14ac:dyDescent="0.25">
      <c r="A82" s="19">
        <v>81</v>
      </c>
      <c r="B82" s="4" t="s">
        <v>718</v>
      </c>
      <c r="C82" s="11" t="s">
        <v>818</v>
      </c>
      <c r="E82" s="26">
        <v>3</v>
      </c>
      <c r="F82" s="26">
        <v>1542</v>
      </c>
      <c r="G82" s="26">
        <v>1180</v>
      </c>
      <c r="L82" s="3"/>
      <c r="M82" s="3"/>
      <c r="N82" s="3"/>
    </row>
    <row r="83" spans="1:15" x14ac:dyDescent="0.25">
      <c r="A83" s="19">
        <v>82</v>
      </c>
      <c r="B83" s="4" t="s">
        <v>766</v>
      </c>
      <c r="C83" s="11" t="s">
        <v>819</v>
      </c>
      <c r="E83" s="26">
        <v>0</v>
      </c>
      <c r="F83" s="26">
        <v>415</v>
      </c>
      <c r="G83" s="26">
        <v>345</v>
      </c>
      <c r="L83" s="3"/>
      <c r="M83" s="3"/>
    </row>
    <row r="84" spans="1:15" x14ac:dyDescent="0.25">
      <c r="A84" s="19">
        <v>83</v>
      </c>
      <c r="B84" s="4" t="s">
        <v>767</v>
      </c>
      <c r="C84" s="11" t="s">
        <v>820</v>
      </c>
      <c r="E84" s="26">
        <v>0</v>
      </c>
      <c r="F84" s="26">
        <v>358</v>
      </c>
      <c r="G84" s="26">
        <v>297</v>
      </c>
      <c r="L84" s="3"/>
      <c r="M84" s="3"/>
    </row>
    <row r="85" spans="1:15" x14ac:dyDescent="0.25">
      <c r="A85" s="19">
        <v>84</v>
      </c>
      <c r="B85" s="4" t="s">
        <v>784</v>
      </c>
      <c r="E85" s="19">
        <v>0</v>
      </c>
      <c r="L85" s="3"/>
    </row>
    <row r="86" spans="1:15" x14ac:dyDescent="0.25">
      <c r="A86" s="19">
        <v>85</v>
      </c>
      <c r="B86" s="4">
        <v>28239752</v>
      </c>
      <c r="C86" s="11" t="s">
        <v>799</v>
      </c>
      <c r="E86" s="35">
        <v>1</v>
      </c>
      <c r="F86" s="35">
        <v>560</v>
      </c>
      <c r="G86" s="35">
        <v>436</v>
      </c>
      <c r="L86" s="3"/>
    </row>
    <row r="87" spans="1:15" x14ac:dyDescent="0.25">
      <c r="A87" s="19">
        <v>86</v>
      </c>
      <c r="B87" s="4">
        <v>28292808</v>
      </c>
      <c r="C87" s="11" t="s">
        <v>830</v>
      </c>
      <c r="E87" s="35">
        <v>1</v>
      </c>
      <c r="F87" s="35" t="s">
        <v>4252</v>
      </c>
      <c r="G87" s="35" t="s">
        <v>4253</v>
      </c>
      <c r="L87" s="3"/>
    </row>
    <row r="88" spans="1:15" x14ac:dyDescent="0.25">
      <c r="A88" s="19">
        <v>87</v>
      </c>
      <c r="B88" s="4" t="s">
        <v>1896</v>
      </c>
      <c r="C88" s="11" t="s">
        <v>1897</v>
      </c>
      <c r="E88" s="35">
        <v>7</v>
      </c>
      <c r="F88" s="35">
        <v>711</v>
      </c>
      <c r="G88" s="35">
        <v>545</v>
      </c>
    </row>
    <row r="89" spans="1:15" x14ac:dyDescent="0.25">
      <c r="A89" s="19">
        <v>88</v>
      </c>
      <c r="B89" s="4" t="s">
        <v>2840</v>
      </c>
      <c r="C89" s="11" t="s">
        <v>452</v>
      </c>
      <c r="E89" s="35">
        <v>1</v>
      </c>
      <c r="F89" s="35">
        <v>9914</v>
      </c>
      <c r="G89" s="35">
        <v>8500</v>
      </c>
    </row>
    <row r="90" spans="1:15" x14ac:dyDescent="0.25">
      <c r="A90" s="19">
        <v>89</v>
      </c>
      <c r="B90" s="4">
        <v>28278897</v>
      </c>
      <c r="C90" s="11" t="s">
        <v>3210</v>
      </c>
      <c r="E90" s="35">
        <v>5</v>
      </c>
      <c r="F90" s="35" t="s">
        <v>4352</v>
      </c>
      <c r="G90" s="35" t="s">
        <v>3840</v>
      </c>
    </row>
    <row r="91" spans="1:15" x14ac:dyDescent="0.25">
      <c r="A91" s="19">
        <v>90</v>
      </c>
      <c r="B91" s="4">
        <v>28470464</v>
      </c>
      <c r="C91" s="11" t="s">
        <v>3209</v>
      </c>
      <c r="E91" s="35">
        <v>4</v>
      </c>
      <c r="F91" s="35">
        <v>4262</v>
      </c>
      <c r="G91" s="35" t="s">
        <v>4490</v>
      </c>
    </row>
    <row r="92" spans="1:15" x14ac:dyDescent="0.25">
      <c r="A92" s="19">
        <v>91</v>
      </c>
      <c r="B92" s="4">
        <v>28460145</v>
      </c>
      <c r="E92" s="19">
        <v>0</v>
      </c>
    </row>
    <row r="93" spans="1:15" x14ac:dyDescent="0.25">
      <c r="A93" s="19">
        <v>92</v>
      </c>
      <c r="B93" s="4">
        <v>28405789</v>
      </c>
      <c r="C93" s="11" t="s">
        <v>3546</v>
      </c>
      <c r="E93" s="35">
        <v>4</v>
      </c>
      <c r="F93" s="35">
        <v>4853</v>
      </c>
      <c r="G93" s="35">
        <v>3870</v>
      </c>
    </row>
    <row r="94" spans="1:15" x14ac:dyDescent="0.25">
      <c r="A94" s="19">
        <v>93</v>
      </c>
      <c r="B94" s="4">
        <v>28538389</v>
      </c>
      <c r="E94" s="35">
        <v>1</v>
      </c>
      <c r="F94" s="35">
        <v>4172</v>
      </c>
      <c r="G94" s="35">
        <v>3200</v>
      </c>
    </row>
    <row r="95" spans="1:15" ht="15.75" thickBot="1" x14ac:dyDescent="0.3">
      <c r="A95" s="19">
        <v>94</v>
      </c>
      <c r="B95" s="4" t="s">
        <v>3356</v>
      </c>
      <c r="E95" s="35">
        <v>3</v>
      </c>
      <c r="F95" s="35">
        <v>7060</v>
      </c>
      <c r="G95" s="4">
        <v>5870</v>
      </c>
    </row>
    <row r="96" spans="1:15" ht="29.25" thickBot="1" x14ac:dyDescent="0.3">
      <c r="A96" s="19">
        <v>95</v>
      </c>
      <c r="B96" s="80" t="s">
        <v>547</v>
      </c>
      <c r="C96" s="80" t="s">
        <v>3614</v>
      </c>
      <c r="D96" s="109"/>
      <c r="E96" s="19">
        <v>0</v>
      </c>
      <c r="F96" s="35">
        <v>9987</v>
      </c>
      <c r="G96" s="4">
        <v>8304</v>
      </c>
    </row>
    <row r="97" spans="1:7" x14ac:dyDescent="0.25">
      <c r="A97" s="19">
        <v>96</v>
      </c>
      <c r="B97" s="4">
        <v>28591272</v>
      </c>
      <c r="C97" s="11" t="s">
        <v>3913</v>
      </c>
      <c r="E97">
        <v>4</v>
      </c>
      <c r="F97" s="86">
        <v>4087</v>
      </c>
      <c r="G97" s="4">
        <v>3325</v>
      </c>
    </row>
    <row r="98" spans="1:7" x14ac:dyDescent="0.25">
      <c r="A98" s="19">
        <v>97</v>
      </c>
      <c r="B98" s="4">
        <v>5594</v>
      </c>
      <c r="C98" s="11" t="s">
        <v>3913</v>
      </c>
      <c r="E98">
        <v>5</v>
      </c>
      <c r="F98">
        <v>4006</v>
      </c>
      <c r="G98" s="4">
        <v>3330</v>
      </c>
    </row>
    <row r="99" spans="1:7" x14ac:dyDescent="0.25">
      <c r="A99" s="19">
        <v>98</v>
      </c>
      <c r="B99" s="4">
        <v>28645902</v>
      </c>
      <c r="C99" s="11" t="s">
        <v>3913</v>
      </c>
      <c r="E99">
        <v>4</v>
      </c>
      <c r="F99">
        <v>5565</v>
      </c>
      <c r="G99" s="4">
        <v>4261</v>
      </c>
    </row>
    <row r="100" spans="1:7" x14ac:dyDescent="0.25">
      <c r="A100" s="19">
        <v>99</v>
      </c>
      <c r="B100" s="4">
        <v>28244634</v>
      </c>
      <c r="C100" s="11" t="s">
        <v>4015</v>
      </c>
      <c r="E100">
        <v>0</v>
      </c>
      <c r="F100">
        <v>1544</v>
      </c>
      <c r="G100" s="4">
        <v>1283</v>
      </c>
    </row>
    <row r="101" spans="1:7" x14ac:dyDescent="0.25">
      <c r="A101" s="19">
        <v>100</v>
      </c>
      <c r="B101" s="4">
        <v>668</v>
      </c>
      <c r="C101" s="11" t="s">
        <v>4103</v>
      </c>
      <c r="E101" s="19">
        <v>0</v>
      </c>
    </row>
    <row r="102" spans="1:7" x14ac:dyDescent="0.25">
      <c r="A102" s="19">
        <v>101</v>
      </c>
      <c r="B102" s="4" t="s">
        <v>4423</v>
      </c>
      <c r="C102" s="11" t="s">
        <v>4424</v>
      </c>
      <c r="E102">
        <v>4</v>
      </c>
      <c r="F102">
        <v>873</v>
      </c>
      <c r="G102" s="4">
        <v>725</v>
      </c>
    </row>
    <row r="103" spans="1:7" x14ac:dyDescent="0.25">
      <c r="A103" s="19">
        <v>102</v>
      </c>
      <c r="B103" s="4">
        <v>28520715</v>
      </c>
      <c r="C103" s="11" t="s">
        <v>4439</v>
      </c>
      <c r="E103">
        <v>4</v>
      </c>
      <c r="F103">
        <v>1907</v>
      </c>
      <c r="G103" s="4">
        <v>1460</v>
      </c>
    </row>
  </sheetData>
  <autoFilter ref="A1:P103" xr:uid="{00000000-0001-0000-0100-000000000000}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54"/>
  <sheetViews>
    <sheetView zoomScale="120" zoomScaleNormal="120" workbookViewId="0">
      <selection sqref="A1:F1"/>
    </sheetView>
  </sheetViews>
  <sheetFormatPr defaultRowHeight="15" x14ac:dyDescent="0.2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 x14ac:dyDescent="0.35">
      <c r="A1" s="91" t="s">
        <v>592</v>
      </c>
      <c r="B1" s="91" t="s">
        <v>449</v>
      </c>
      <c r="C1" s="91" t="s">
        <v>4654</v>
      </c>
      <c r="D1" s="91" t="s">
        <v>593</v>
      </c>
      <c r="E1" s="92" t="s">
        <v>594</v>
      </c>
      <c r="F1" s="91" t="s">
        <v>595</v>
      </c>
      <c r="G1" s="6" t="s">
        <v>722</v>
      </c>
      <c r="H1" s="43"/>
      <c r="K1" s="1"/>
    </row>
    <row r="2" spans="1:11" x14ac:dyDescent="0.25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42">
        <f>VLOOKUP(B2,'[1]HSN CODE  TAX RATE'!$A$1:$E$13823,2,0)</f>
        <v>85392910</v>
      </c>
    </row>
    <row r="3" spans="1:11" x14ac:dyDescent="0.25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42">
        <f>VLOOKUP(B3,'[1]HSN CODE  TAX RATE'!$A$1:$E$13823,2,0)</f>
        <v>85392910</v>
      </c>
      <c r="I3" s="3"/>
      <c r="J3" s="3"/>
      <c r="K3" s="3"/>
    </row>
    <row r="4" spans="1:11" x14ac:dyDescent="0.25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42">
        <f>VLOOKUP(B4,'[1]HSN CODE  TAX RATE'!$A$1:$E$13823,2,0)</f>
        <v>85392910</v>
      </c>
      <c r="I4" s="3"/>
      <c r="J4" s="3"/>
      <c r="K4" s="3"/>
    </row>
    <row r="5" spans="1:11" s="3" customFormat="1" x14ac:dyDescent="0.25">
      <c r="A5" s="7">
        <v>4</v>
      </c>
      <c r="B5" s="8" t="s">
        <v>321</v>
      </c>
      <c r="C5" s="8" t="s">
        <v>142</v>
      </c>
      <c r="D5" s="7"/>
      <c r="E5" s="7">
        <v>0</v>
      </c>
      <c r="F5" s="7">
        <v>11</v>
      </c>
      <c r="G5" s="7">
        <v>7.1</v>
      </c>
      <c r="H5" s="42">
        <f>VLOOKUP(B5,'[1]HSN CODE  TAX RATE'!$A$1:$E$13823,2,0)</f>
        <v>85392910</v>
      </c>
    </row>
    <row r="6" spans="1:11" s="3" customFormat="1" x14ac:dyDescent="0.25">
      <c r="A6" s="7">
        <v>5</v>
      </c>
      <c r="B6" s="8" t="s">
        <v>322</v>
      </c>
      <c r="C6" s="8" t="s">
        <v>143</v>
      </c>
      <c r="D6" s="7"/>
      <c r="E6" s="7">
        <v>0</v>
      </c>
      <c r="F6" s="7">
        <v>11</v>
      </c>
      <c r="G6" s="7">
        <v>7.1</v>
      </c>
      <c r="H6" s="42">
        <f>VLOOKUP(B6,'[1]HSN CODE  TAX RATE'!$A$1:$E$13823,2,0)</f>
        <v>85392910</v>
      </c>
    </row>
    <row r="7" spans="1:11" s="3" customFormat="1" x14ac:dyDescent="0.25">
      <c r="A7" s="7">
        <v>6</v>
      </c>
      <c r="B7" s="8" t="s">
        <v>380</v>
      </c>
      <c r="C7" s="8" t="s">
        <v>280</v>
      </c>
      <c r="D7" s="7"/>
      <c r="E7" s="7">
        <v>0</v>
      </c>
      <c r="F7" s="7"/>
      <c r="G7" s="7">
        <v>6.6</v>
      </c>
      <c r="H7" s="42"/>
    </row>
    <row r="8" spans="1:11" s="3" customFormat="1" x14ac:dyDescent="0.25">
      <c r="A8" s="7">
        <v>7</v>
      </c>
      <c r="B8" s="8" t="s">
        <v>651</v>
      </c>
      <c r="C8" s="8" t="s">
        <v>141</v>
      </c>
      <c r="D8" s="7"/>
      <c r="E8" s="7">
        <v>0</v>
      </c>
      <c r="F8" s="7">
        <v>12.2</v>
      </c>
      <c r="G8" s="7">
        <v>8</v>
      </c>
      <c r="H8" s="42" t="e">
        <f>VLOOKUP(B8,'[1]HSN CODE  TAX RATE'!$A$1:$E$13823,2,0)</f>
        <v>#N/A</v>
      </c>
    </row>
    <row r="9" spans="1:11" s="3" customFormat="1" x14ac:dyDescent="0.25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42">
        <f>VLOOKUP(B9,'[1]HSN CODE  TAX RATE'!$A$1:$E$13823,2,0)</f>
        <v>85392910</v>
      </c>
      <c r="I9" s="3" t="s">
        <v>420</v>
      </c>
    </row>
    <row r="10" spans="1:11" s="3" customFormat="1" x14ac:dyDescent="0.25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42">
        <f>VLOOKUP(B10,'[1]HSN CODE  TAX RATE'!$A$1:$E$13823,2,0)</f>
        <v>85392990</v>
      </c>
    </row>
    <row r="11" spans="1:11" s="3" customFormat="1" x14ac:dyDescent="0.25">
      <c r="A11" s="7">
        <v>10</v>
      </c>
      <c r="B11" s="8" t="s">
        <v>388</v>
      </c>
      <c r="C11" s="8" t="s">
        <v>389</v>
      </c>
      <c r="D11" s="7"/>
      <c r="E11" s="7">
        <v>40</v>
      </c>
      <c r="F11" s="7">
        <v>7.5</v>
      </c>
      <c r="G11" s="7">
        <v>4.5</v>
      </c>
      <c r="H11" s="42"/>
    </row>
    <row r="12" spans="1:11" s="3" customFormat="1" x14ac:dyDescent="0.25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42">
        <f>VLOOKUP(B12,'[1]HSN CODE  TAX RATE'!$A$1:$E$13823,2,0)</f>
        <v>85392990</v>
      </c>
    </row>
    <row r="13" spans="1:11" s="3" customFormat="1" x14ac:dyDescent="0.25">
      <c r="A13" s="7">
        <v>12</v>
      </c>
      <c r="B13" s="8" t="s">
        <v>323</v>
      </c>
      <c r="C13" s="8" t="s">
        <v>140</v>
      </c>
      <c r="D13" s="7"/>
      <c r="E13" s="7">
        <v>0</v>
      </c>
      <c r="F13" s="7"/>
      <c r="G13" s="7"/>
      <c r="H13" s="42">
        <f>VLOOKUP(B13,'[1]HSN CODE  TAX RATE'!$A$1:$E$13823,2,0)</f>
        <v>85392990</v>
      </c>
    </row>
    <row r="14" spans="1:11" s="3" customFormat="1" x14ac:dyDescent="0.25">
      <c r="A14" s="7">
        <v>13</v>
      </c>
      <c r="B14" s="8" t="s">
        <v>204</v>
      </c>
      <c r="C14" s="8" t="s">
        <v>821</v>
      </c>
      <c r="D14" s="7"/>
      <c r="E14" s="7">
        <v>0</v>
      </c>
      <c r="F14" s="7">
        <v>8.6999999999999993</v>
      </c>
      <c r="G14" s="7">
        <v>5</v>
      </c>
      <c r="H14" s="42">
        <f>VLOOKUP(B14,'[1]HSN CODE  TAX RATE'!$A$1:$E$13823,2,0)</f>
        <v>85392990</v>
      </c>
    </row>
    <row r="15" spans="1:11" s="3" customFormat="1" x14ac:dyDescent="0.25">
      <c r="A15" s="7">
        <v>14</v>
      </c>
      <c r="B15" s="8" t="s">
        <v>324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42">
        <f>VLOOKUP(B15,'[1]HSN CODE  TAX RATE'!$A$1:$E$13823,2,0)</f>
        <v>85392990</v>
      </c>
    </row>
    <row r="16" spans="1:11" s="3" customFormat="1" x14ac:dyDescent="0.25">
      <c r="A16" s="7">
        <v>15</v>
      </c>
      <c r="B16" s="8" t="s">
        <v>177</v>
      </c>
      <c r="C16" s="8" t="s">
        <v>178</v>
      </c>
      <c r="D16" s="7"/>
      <c r="E16" s="7">
        <v>10</v>
      </c>
      <c r="F16" s="7">
        <v>27</v>
      </c>
      <c r="G16" s="7">
        <v>18</v>
      </c>
      <c r="H16" s="42">
        <f>VLOOKUP(B16,'[1]HSN CODE  TAX RATE'!$A$1:$E$13823,2,0)</f>
        <v>85392910</v>
      </c>
    </row>
    <row r="17" spans="1:11" s="3" customFormat="1" x14ac:dyDescent="0.25">
      <c r="A17" s="7">
        <v>16</v>
      </c>
      <c r="B17" s="8" t="s">
        <v>381</v>
      </c>
      <c r="C17" s="8" t="s">
        <v>822</v>
      </c>
      <c r="D17" s="7"/>
      <c r="E17" s="7">
        <v>0</v>
      </c>
      <c r="F17" s="7">
        <v>27</v>
      </c>
      <c r="G17" s="7">
        <v>17.5</v>
      </c>
      <c r="H17" s="42"/>
    </row>
    <row r="18" spans="1:11" s="3" customFormat="1" x14ac:dyDescent="0.25">
      <c r="A18" s="7">
        <v>17</v>
      </c>
      <c r="B18" s="8" t="s">
        <v>359</v>
      </c>
      <c r="C18" s="8" t="s">
        <v>823</v>
      </c>
      <c r="D18" s="7"/>
      <c r="E18" s="7">
        <v>36</v>
      </c>
      <c r="F18" s="7">
        <v>27</v>
      </c>
      <c r="G18" s="7">
        <v>17.5</v>
      </c>
      <c r="H18" s="42">
        <f>VLOOKUP(B18,'[1]HSN CODE  TAX RATE'!$A$1:$E$13823,2,0)</f>
        <v>85392910</v>
      </c>
      <c r="I18"/>
    </row>
    <row r="19" spans="1:11" s="3" customFormat="1" x14ac:dyDescent="0.25">
      <c r="A19" s="7">
        <v>18</v>
      </c>
      <c r="B19" s="8" t="s">
        <v>379</v>
      </c>
      <c r="C19" s="8" t="s">
        <v>213</v>
      </c>
      <c r="D19" s="7"/>
      <c r="E19" s="7">
        <v>1</v>
      </c>
      <c r="F19" s="7">
        <v>27</v>
      </c>
      <c r="G19" s="7">
        <v>17.5</v>
      </c>
      <c r="H19" s="42"/>
    </row>
    <row r="20" spans="1:11" s="3" customFormat="1" x14ac:dyDescent="0.25">
      <c r="A20" s="7">
        <v>19</v>
      </c>
      <c r="B20" s="8">
        <v>9430</v>
      </c>
      <c r="C20" s="8" t="s">
        <v>280</v>
      </c>
      <c r="D20" s="7"/>
      <c r="E20" s="7">
        <v>0</v>
      </c>
      <c r="F20" s="7">
        <v>37</v>
      </c>
      <c r="G20" s="7">
        <v>26</v>
      </c>
      <c r="H20" s="42">
        <f>VLOOKUP(B20,'[1]HSN CODE  TAX RATE'!$A$1:$E$13823,2,0)</f>
        <v>85392910</v>
      </c>
      <c r="I20"/>
    </row>
    <row r="21" spans="1:11" x14ac:dyDescent="0.25">
      <c r="A21" s="7">
        <v>20</v>
      </c>
      <c r="B21" s="7" t="s">
        <v>507</v>
      </c>
      <c r="C21" s="8" t="s">
        <v>1360</v>
      </c>
      <c r="D21" s="7"/>
      <c r="E21" s="7">
        <v>0</v>
      </c>
      <c r="F21" s="7">
        <v>58</v>
      </c>
      <c r="G21" s="7">
        <v>34</v>
      </c>
      <c r="H21" s="42" t="e">
        <f>VLOOKUP(B21,'[1]HSN CODE  TAX RATE'!$A$1:$E$13823,2,0)</f>
        <v>#N/A</v>
      </c>
      <c r="I21" s="3"/>
      <c r="J21" s="3"/>
      <c r="K21" s="3"/>
    </row>
    <row r="22" spans="1:11" s="3" customFormat="1" x14ac:dyDescent="0.25">
      <c r="A22" s="7">
        <v>21</v>
      </c>
      <c r="B22" s="7" t="s">
        <v>506</v>
      </c>
      <c r="C22" s="8" t="s">
        <v>1359</v>
      </c>
      <c r="D22" s="7"/>
      <c r="E22" s="7">
        <v>90</v>
      </c>
      <c r="F22" s="7">
        <v>47</v>
      </c>
      <c r="G22" s="7">
        <v>27</v>
      </c>
      <c r="H22" s="42" t="e">
        <f>VLOOKUP(B22,'[1]HSN CODE  TAX RATE'!$A$1:$E$13823,2,0)</f>
        <v>#N/A</v>
      </c>
    </row>
    <row r="23" spans="1:11" s="3" customFormat="1" x14ac:dyDescent="0.25">
      <c r="A23" s="7">
        <v>22</v>
      </c>
      <c r="B23" s="7" t="s">
        <v>508</v>
      </c>
      <c r="C23" s="7" t="s">
        <v>510</v>
      </c>
      <c r="D23" s="7"/>
      <c r="E23" s="7"/>
      <c r="F23" s="7"/>
      <c r="G23" s="7"/>
      <c r="H23" s="42"/>
    </row>
    <row r="24" spans="1:11" s="3" customFormat="1" x14ac:dyDescent="0.25">
      <c r="A24" s="7">
        <v>23</v>
      </c>
      <c r="B24" s="7" t="s">
        <v>509</v>
      </c>
      <c r="C24" s="7" t="s">
        <v>511</v>
      </c>
      <c r="D24" s="7"/>
      <c r="E24" s="7"/>
      <c r="F24" s="7"/>
      <c r="G24" s="7"/>
      <c r="H24" s="42"/>
    </row>
    <row r="25" spans="1:11" s="3" customFormat="1" x14ac:dyDescent="0.25">
      <c r="A25" s="7">
        <v>24</v>
      </c>
      <c r="B25" s="8" t="s">
        <v>237</v>
      </c>
      <c r="C25" s="8" t="s">
        <v>1229</v>
      </c>
      <c r="D25" s="7"/>
      <c r="E25" s="7">
        <v>12</v>
      </c>
      <c r="F25" s="7">
        <v>70</v>
      </c>
      <c r="G25" s="7">
        <v>45</v>
      </c>
      <c r="H25" s="42">
        <f>VLOOKUP(B25,'[1]HSN CODE  TAX RATE'!$A$1:$E$13823,2,0)</f>
        <v>85392120</v>
      </c>
    </row>
    <row r="26" spans="1:11" s="3" customFormat="1" x14ac:dyDescent="0.25">
      <c r="A26" s="7">
        <v>25</v>
      </c>
      <c r="B26" s="8" t="s">
        <v>721</v>
      </c>
      <c r="C26" s="8" t="s">
        <v>436</v>
      </c>
      <c r="D26" s="7"/>
      <c r="E26" s="7">
        <v>0</v>
      </c>
      <c r="F26" s="7">
        <v>108</v>
      </c>
      <c r="G26" s="7">
        <v>64</v>
      </c>
      <c r="H26" s="42"/>
    </row>
    <row r="27" spans="1:11" s="3" customFormat="1" x14ac:dyDescent="0.25">
      <c r="A27" s="7">
        <v>26</v>
      </c>
      <c r="B27" s="8" t="s">
        <v>581</v>
      </c>
      <c r="C27" s="8" t="s">
        <v>582</v>
      </c>
      <c r="D27" s="7"/>
      <c r="E27" s="7">
        <v>10</v>
      </c>
      <c r="F27" s="7">
        <v>130</v>
      </c>
      <c r="G27" s="7">
        <v>76</v>
      </c>
      <c r="H27" s="42"/>
    </row>
    <row r="28" spans="1:11" s="3" customFormat="1" x14ac:dyDescent="0.25">
      <c r="A28" s="7">
        <v>27</v>
      </c>
      <c r="B28" s="8" t="s">
        <v>625</v>
      </c>
      <c r="C28" s="8" t="s">
        <v>437</v>
      </c>
      <c r="D28" s="7"/>
      <c r="E28" s="7">
        <v>0</v>
      </c>
      <c r="F28" s="7">
        <v>137</v>
      </c>
      <c r="G28" s="7">
        <v>79</v>
      </c>
      <c r="H28" s="42"/>
    </row>
    <row r="29" spans="1:11" x14ac:dyDescent="0.25">
      <c r="A29" s="7">
        <v>28</v>
      </c>
      <c r="B29" s="8" t="s">
        <v>576</v>
      </c>
      <c r="C29" s="8" t="s">
        <v>824</v>
      </c>
      <c r="D29" s="7"/>
      <c r="E29" s="7">
        <v>20</v>
      </c>
      <c r="F29" s="7">
        <v>103</v>
      </c>
      <c r="G29" s="7">
        <v>60</v>
      </c>
      <c r="H29" s="42" t="e">
        <f>VLOOKUP(B29,'[1]HSN CODE  TAX RATE'!$A$1:$E$13823,2,0)</f>
        <v>#N/A</v>
      </c>
      <c r="I29" s="3"/>
      <c r="J29" s="3"/>
      <c r="K29" s="3"/>
    </row>
    <row r="30" spans="1:11" x14ac:dyDescent="0.25">
      <c r="A30" s="7">
        <v>29</v>
      </c>
      <c r="B30" s="8" t="s">
        <v>584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42" t="e">
        <f>VLOOKUP(B30,'[1]HSN CODE  TAX RATE'!$A$1:$E$13823,2,0)</f>
        <v>#N/A</v>
      </c>
      <c r="I30" s="3"/>
      <c r="J30" s="3"/>
      <c r="K30" s="3"/>
    </row>
    <row r="31" spans="1:11" x14ac:dyDescent="0.25">
      <c r="A31" s="7">
        <v>30</v>
      </c>
      <c r="B31" s="8" t="s">
        <v>589</v>
      </c>
      <c r="C31" s="8" t="s">
        <v>197</v>
      </c>
      <c r="D31" s="7"/>
      <c r="E31" s="7">
        <v>0</v>
      </c>
      <c r="F31" s="7" t="s">
        <v>2872</v>
      </c>
      <c r="G31" s="7">
        <v>57</v>
      </c>
      <c r="H31" s="42" t="e">
        <f>VLOOKUP(B31,'[1]HSN CODE  TAX RATE'!$A$1:$E$13823,2,0)</f>
        <v>#N/A</v>
      </c>
      <c r="I31" s="3"/>
      <c r="J31" s="3"/>
      <c r="K31" s="3"/>
    </row>
    <row r="32" spans="1:11" s="3" customFormat="1" x14ac:dyDescent="0.25">
      <c r="A32" s="7">
        <v>31</v>
      </c>
      <c r="B32" s="8" t="s">
        <v>585</v>
      </c>
      <c r="C32" s="8" t="s">
        <v>586</v>
      </c>
      <c r="D32" s="7"/>
      <c r="E32" s="7">
        <v>0</v>
      </c>
      <c r="F32" s="7" t="s">
        <v>2858</v>
      </c>
      <c r="G32" s="7" t="s">
        <v>2859</v>
      </c>
      <c r="H32" s="42"/>
    </row>
    <row r="33" spans="1:14" s="3" customFormat="1" x14ac:dyDescent="0.25">
      <c r="A33" s="7">
        <v>32</v>
      </c>
      <c r="B33" s="8" t="s">
        <v>1381</v>
      </c>
      <c r="C33" s="8" t="s">
        <v>1382</v>
      </c>
      <c r="D33" s="7"/>
      <c r="E33" s="7">
        <v>0</v>
      </c>
      <c r="F33" s="7" t="s">
        <v>2860</v>
      </c>
      <c r="G33" s="7" t="s">
        <v>2861</v>
      </c>
      <c r="H33" s="42"/>
    </row>
    <row r="34" spans="1:14" x14ac:dyDescent="0.25">
      <c r="A34" s="7">
        <v>33</v>
      </c>
      <c r="B34" s="8" t="s">
        <v>577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42" t="e">
        <f>VLOOKUP(B34,'[1]HSN CODE  TAX RATE'!$A$1:$E$13823,2,0)</f>
        <v>#N/A</v>
      </c>
      <c r="I34" s="3"/>
      <c r="J34" s="3"/>
      <c r="K34" s="3"/>
    </row>
    <row r="35" spans="1:14" x14ac:dyDescent="0.25">
      <c r="A35" s="7">
        <v>34</v>
      </c>
      <c r="B35" s="8" t="s">
        <v>203</v>
      </c>
      <c r="C35" s="8" t="s">
        <v>205</v>
      </c>
      <c r="D35" s="7"/>
      <c r="E35" s="7">
        <v>10</v>
      </c>
      <c r="F35" s="7">
        <v>100</v>
      </c>
      <c r="G35" s="7">
        <v>65</v>
      </c>
      <c r="H35" s="42">
        <f>VLOOKUP(B35,'[1]HSN CODE  TAX RATE'!$A$1:$E$13823,2,0)</f>
        <v>85392120</v>
      </c>
      <c r="I35" s="3"/>
      <c r="J35" s="3"/>
      <c r="K35" s="3"/>
    </row>
    <row r="36" spans="1:14" s="3" customFormat="1" x14ac:dyDescent="0.25">
      <c r="A36" s="7">
        <v>35</v>
      </c>
      <c r="B36" s="8" t="s">
        <v>753</v>
      </c>
      <c r="C36" s="8" t="s">
        <v>754</v>
      </c>
      <c r="D36" s="7"/>
      <c r="E36" s="7">
        <v>20</v>
      </c>
      <c r="F36" s="7">
        <v>88</v>
      </c>
      <c r="G36" s="7">
        <v>52</v>
      </c>
      <c r="H36" s="42"/>
    </row>
    <row r="37" spans="1:14" s="3" customFormat="1" x14ac:dyDescent="0.25">
      <c r="A37" s="7">
        <v>36</v>
      </c>
      <c r="B37" s="8" t="s">
        <v>566</v>
      </c>
      <c r="C37" s="8" t="s">
        <v>3705</v>
      </c>
      <c r="D37" s="7"/>
      <c r="E37" s="7">
        <v>22</v>
      </c>
      <c r="F37" s="7">
        <v>62</v>
      </c>
      <c r="G37" s="7">
        <v>36</v>
      </c>
      <c r="H37" s="42"/>
    </row>
    <row r="38" spans="1:14" s="3" customFormat="1" x14ac:dyDescent="0.25">
      <c r="A38" s="7">
        <v>37</v>
      </c>
      <c r="B38" s="8" t="s">
        <v>574</v>
      </c>
      <c r="C38" s="8" t="s">
        <v>575</v>
      </c>
      <c r="D38" s="7"/>
      <c r="E38" s="7">
        <v>20</v>
      </c>
      <c r="F38" s="7">
        <v>80</v>
      </c>
      <c r="G38" s="7">
        <v>47</v>
      </c>
      <c r="H38" s="42"/>
    </row>
    <row r="39" spans="1:14" x14ac:dyDescent="0.25">
      <c r="A39" s="7">
        <v>38</v>
      </c>
      <c r="B39" s="8" t="s">
        <v>104</v>
      </c>
      <c r="C39" s="8" t="s">
        <v>105</v>
      </c>
      <c r="D39" s="7"/>
      <c r="E39" s="7">
        <v>76</v>
      </c>
      <c r="F39" s="7">
        <v>145</v>
      </c>
      <c r="G39" s="7">
        <v>88</v>
      </c>
      <c r="H39" s="42">
        <f>VLOOKUP(B39,'[1]HSN CODE  TAX RATE'!$A$1:$E$13823,2,0)</f>
        <v>85364100</v>
      </c>
      <c r="J39" s="3"/>
      <c r="K39" s="3"/>
      <c r="L39" s="3"/>
      <c r="M39" s="3"/>
      <c r="N39" s="3"/>
    </row>
    <row r="40" spans="1:14" x14ac:dyDescent="0.25">
      <c r="A40" s="7">
        <v>39</v>
      </c>
      <c r="B40" s="8" t="s">
        <v>286</v>
      </c>
      <c r="C40" s="8" t="s">
        <v>825</v>
      </c>
      <c r="D40" s="7"/>
      <c r="E40" s="7">
        <v>333</v>
      </c>
      <c r="F40" s="7">
        <v>240</v>
      </c>
      <c r="G40" s="7">
        <v>135</v>
      </c>
      <c r="H40" s="42">
        <f>VLOOKUP(B40,'[1]HSN CODE  TAX RATE'!$A$1:$E$13823,2,0)</f>
        <v>85364100</v>
      </c>
      <c r="J40" s="3"/>
      <c r="K40" s="3"/>
    </row>
    <row r="41" spans="1:14" x14ac:dyDescent="0.25">
      <c r="A41" s="7">
        <v>40</v>
      </c>
      <c r="B41" s="8" t="s">
        <v>358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42">
        <f>VLOOKUP(B41,'[1]HSN CODE  TAX RATE'!$A$1:$E$13823,2,0)</f>
        <v>85364100</v>
      </c>
      <c r="I41" s="10"/>
      <c r="J41" s="3"/>
      <c r="K41" s="3"/>
    </row>
    <row r="42" spans="1:14" x14ac:dyDescent="0.25">
      <c r="A42" s="7">
        <v>41</v>
      </c>
      <c r="B42" s="8" t="s">
        <v>110</v>
      </c>
      <c r="C42" s="8" t="s">
        <v>826</v>
      </c>
      <c r="D42" s="7"/>
      <c r="E42" s="7">
        <v>0</v>
      </c>
      <c r="F42" s="25">
        <v>430</v>
      </c>
      <c r="G42" s="25">
        <v>275</v>
      </c>
      <c r="H42" s="42">
        <f>VLOOKUP(B42,'[1]HSN CODE  TAX RATE'!$A$1:$E$13823,2,0)</f>
        <v>85364100</v>
      </c>
      <c r="J42" s="3"/>
      <c r="K42" s="3"/>
    </row>
    <row r="43" spans="1:14" ht="21" x14ac:dyDescent="0.35">
      <c r="A43" s="7">
        <v>42</v>
      </c>
      <c r="B43" s="110" t="s">
        <v>676</v>
      </c>
      <c r="C43" s="110"/>
      <c r="D43" s="110"/>
      <c r="E43" s="110"/>
      <c r="F43" s="110"/>
      <c r="G43" s="7"/>
    </row>
    <row r="44" spans="1:14" x14ac:dyDescent="0.25">
      <c r="A44" s="7">
        <v>43</v>
      </c>
      <c r="B44" s="8" t="s">
        <v>677</v>
      </c>
      <c r="C44" s="8" t="s">
        <v>699</v>
      </c>
      <c r="D44" s="7"/>
      <c r="E44" s="7"/>
      <c r="F44" s="7">
        <v>410</v>
      </c>
      <c r="G44" s="7" t="s">
        <v>692</v>
      </c>
    </row>
    <row r="45" spans="1:14" x14ac:dyDescent="0.25">
      <c r="A45" s="7">
        <v>44</v>
      </c>
      <c r="B45" s="8" t="s">
        <v>678</v>
      </c>
      <c r="C45" s="8" t="s">
        <v>698</v>
      </c>
      <c r="D45" s="7"/>
      <c r="E45" s="7"/>
      <c r="F45" s="7">
        <v>210</v>
      </c>
      <c r="G45" s="7" t="s">
        <v>692</v>
      </c>
    </row>
    <row r="46" spans="1:14" x14ac:dyDescent="0.25">
      <c r="A46" s="7">
        <v>45</v>
      </c>
      <c r="B46" s="8" t="s">
        <v>679</v>
      </c>
      <c r="C46" s="8" t="s">
        <v>697</v>
      </c>
      <c r="D46" s="7"/>
      <c r="E46" s="7"/>
      <c r="F46" s="7">
        <v>275</v>
      </c>
      <c r="G46" s="7" t="s">
        <v>692</v>
      </c>
    </row>
    <row r="47" spans="1:14" x14ac:dyDescent="0.25">
      <c r="A47" s="7"/>
      <c r="B47" s="8"/>
      <c r="C47" s="8"/>
      <c r="D47" s="7"/>
      <c r="E47" s="7"/>
      <c r="F47" s="7"/>
      <c r="G47" s="7"/>
    </row>
    <row r="48" spans="1:14" x14ac:dyDescent="0.25">
      <c r="A48" s="7"/>
      <c r="B48" s="8"/>
      <c r="C48" s="8"/>
      <c r="D48" s="7"/>
      <c r="E48" s="7"/>
      <c r="F48" s="7"/>
      <c r="G48" s="7"/>
    </row>
    <row r="49" spans="1:7" x14ac:dyDescent="0.25">
      <c r="A49" s="7"/>
      <c r="B49" s="8"/>
      <c r="C49" s="8"/>
      <c r="D49" s="7"/>
      <c r="E49" s="7"/>
      <c r="F49" s="7"/>
      <c r="G49" s="7"/>
    </row>
    <row r="50" spans="1:7" x14ac:dyDescent="0.25">
      <c r="A50" s="7"/>
      <c r="B50" s="8"/>
      <c r="C50" s="8"/>
      <c r="D50" s="7"/>
      <c r="E50" s="7"/>
      <c r="F50" s="7"/>
      <c r="G50" s="7"/>
    </row>
    <row r="51" spans="1:7" x14ac:dyDescent="0.25">
      <c r="A51" s="7"/>
      <c r="B51" s="8"/>
      <c r="C51" s="8"/>
      <c r="D51" s="7"/>
      <c r="E51" s="7"/>
      <c r="F51" s="7"/>
      <c r="G51" s="7"/>
    </row>
    <row r="52" spans="1:7" x14ac:dyDescent="0.25">
      <c r="A52" s="7"/>
      <c r="B52" s="8"/>
      <c r="C52" s="8"/>
      <c r="D52" s="7"/>
      <c r="E52" s="7"/>
      <c r="F52" s="7"/>
      <c r="G52" s="7"/>
    </row>
    <row r="53" spans="1:7" x14ac:dyDescent="0.25">
      <c r="A53" s="7"/>
      <c r="B53" s="8"/>
      <c r="C53" s="8"/>
      <c r="D53" s="7"/>
      <c r="E53" s="7"/>
      <c r="F53" s="7"/>
      <c r="G53" s="7"/>
    </row>
    <row r="54" spans="1:7" x14ac:dyDescent="0.25">
      <c r="A54" s="44"/>
      <c r="B54" s="45"/>
      <c r="C54" s="45"/>
      <c r="D54" s="44"/>
      <c r="E54" s="44"/>
      <c r="F54" s="44"/>
    </row>
  </sheetData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12"/>
  <sheetViews>
    <sheetView zoomScale="120" zoomScaleNormal="120" workbookViewId="0">
      <selection sqref="A1:F1"/>
    </sheetView>
  </sheetViews>
  <sheetFormatPr defaultColWidth="9.140625" defaultRowHeight="15" x14ac:dyDescent="0.2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 x14ac:dyDescent="0.25">
      <c r="A1" s="91" t="s">
        <v>592</v>
      </c>
      <c r="B1" s="91" t="s">
        <v>449</v>
      </c>
      <c r="C1" s="91" t="s">
        <v>4654</v>
      </c>
      <c r="D1" s="91" t="s">
        <v>593</v>
      </c>
      <c r="E1" s="92" t="s">
        <v>594</v>
      </c>
      <c r="F1" s="91" t="s">
        <v>595</v>
      </c>
      <c r="G1" s="18" t="s">
        <v>93</v>
      </c>
      <c r="H1" s="18" t="s">
        <v>356</v>
      </c>
      <c r="I1" s="18" t="s">
        <v>357</v>
      </c>
      <c r="J1" s="49"/>
      <c r="K1" s="50" t="s">
        <v>224</v>
      </c>
    </row>
    <row r="2" spans="1:11" x14ac:dyDescent="0.25">
      <c r="A2" s="19">
        <v>1</v>
      </c>
      <c r="B2" s="19" t="s">
        <v>47</v>
      </c>
      <c r="C2" s="19" t="s">
        <v>402</v>
      </c>
      <c r="D2" s="19"/>
      <c r="E2" s="19">
        <v>0</v>
      </c>
      <c r="F2" s="19">
        <v>1000</v>
      </c>
      <c r="G2" s="19">
        <v>685</v>
      </c>
      <c r="H2" s="19">
        <f>VLOOKUP(B2,'[1]HSN CODE  TAX RATE'!$A$1:$E$13821,5,0)</f>
        <v>18</v>
      </c>
      <c r="I2" s="19">
        <f>VLOOKUP(B2,'[1]HSN CODE  TAX RATE'!$A$1:$E$13823,2,0)</f>
        <v>84212300</v>
      </c>
    </row>
    <row r="3" spans="1:11" x14ac:dyDescent="0.25">
      <c r="A3" s="19">
        <v>2</v>
      </c>
      <c r="B3" s="20" t="s">
        <v>59</v>
      </c>
      <c r="C3" s="19" t="s">
        <v>1606</v>
      </c>
      <c r="D3" s="19"/>
      <c r="E3" s="21">
        <v>13</v>
      </c>
      <c r="F3" s="19">
        <v>356</v>
      </c>
      <c r="G3" s="19">
        <v>244</v>
      </c>
      <c r="H3" s="19">
        <f>VLOOKUP(B3,'[1]HSN CODE  TAX RATE'!$A$1:$E$13821,5,0)</f>
        <v>18</v>
      </c>
      <c r="I3" s="19">
        <f>VLOOKUP(B3,'[1]HSN CODE  TAX RATE'!$A$1:$E$13823,2,0)</f>
        <v>84219900</v>
      </c>
    </row>
    <row r="4" spans="1:11" x14ac:dyDescent="0.25">
      <c r="A4" s="19">
        <v>3</v>
      </c>
      <c r="B4" s="19" t="s">
        <v>75</v>
      </c>
      <c r="C4" s="19" t="s">
        <v>76</v>
      </c>
      <c r="D4" s="19"/>
      <c r="E4" s="19">
        <v>3</v>
      </c>
      <c r="F4" s="19" t="s">
        <v>2490</v>
      </c>
      <c r="G4" s="19" t="s">
        <v>2491</v>
      </c>
      <c r="H4" s="19">
        <f>VLOOKUP(B4,'[1]HSN CODE  TAX RATE'!$A$1:$E$13821,5,0)</f>
        <v>18</v>
      </c>
      <c r="I4" s="19">
        <f>VLOOKUP(B4,'[1]HSN CODE  TAX RATE'!$A$1:$E$13823,2,0)</f>
        <v>84212300</v>
      </c>
    </row>
    <row r="5" spans="1:11" x14ac:dyDescent="0.25">
      <c r="A5" s="19">
        <v>4</v>
      </c>
      <c r="B5" s="19" t="s">
        <v>77</v>
      </c>
      <c r="C5" s="19" t="s">
        <v>221</v>
      </c>
      <c r="D5" s="19"/>
      <c r="E5" s="19">
        <v>1</v>
      </c>
      <c r="F5" s="19">
        <v>425</v>
      </c>
      <c r="G5" s="19">
        <v>285</v>
      </c>
      <c r="H5" s="19">
        <f>VLOOKUP(B5,'[1]HSN CODE  TAX RATE'!$A$1:$E$13821,5,0)</f>
        <v>18</v>
      </c>
      <c r="I5" s="19">
        <f>VLOOKUP(B5,'[1]HSN CODE  TAX RATE'!$A$1:$E$13823,2,0)</f>
        <v>84213100</v>
      </c>
    </row>
    <row r="6" spans="1:11" x14ac:dyDescent="0.25">
      <c r="A6" s="19">
        <v>5</v>
      </c>
      <c r="B6" s="19" t="s">
        <v>78</v>
      </c>
      <c r="C6" s="19" t="s">
        <v>79</v>
      </c>
      <c r="D6" s="19"/>
      <c r="E6" s="19">
        <v>0</v>
      </c>
      <c r="F6" s="19">
        <v>236</v>
      </c>
      <c r="G6" s="19">
        <v>160</v>
      </c>
      <c r="H6" s="19">
        <f>VLOOKUP(B6,'[1]HSN CODE  TAX RATE'!$A$1:$E$13821,5,0)</f>
        <v>18</v>
      </c>
      <c r="I6" s="19">
        <f>VLOOKUP(B6,'[1]HSN CODE  TAX RATE'!$A$1:$E$13823,2,0)</f>
        <v>84212300</v>
      </c>
    </row>
    <row r="7" spans="1:11" x14ac:dyDescent="0.25">
      <c r="A7" s="19">
        <v>6</v>
      </c>
      <c r="B7" s="19" t="s">
        <v>80</v>
      </c>
      <c r="C7" s="19" t="s">
        <v>81</v>
      </c>
      <c r="D7" s="19"/>
      <c r="E7" s="19">
        <v>4</v>
      </c>
      <c r="F7" s="19" t="s">
        <v>3278</v>
      </c>
      <c r="G7" s="19" t="s">
        <v>3279</v>
      </c>
      <c r="H7" s="19">
        <f>VLOOKUP(B7,'[1]HSN CODE  TAX RATE'!$A$1:$E$13821,5,0)</f>
        <v>18</v>
      </c>
      <c r="I7" s="19">
        <f>VLOOKUP(B7,'[1]HSN CODE  TAX RATE'!$A$1:$E$13823,2,0)</f>
        <v>84212300</v>
      </c>
      <c r="J7" s="23"/>
    </row>
    <row r="8" spans="1:11" x14ac:dyDescent="0.25">
      <c r="A8" s="19">
        <v>7</v>
      </c>
      <c r="B8" s="19" t="s">
        <v>82</v>
      </c>
      <c r="C8" s="19" t="s">
        <v>83</v>
      </c>
      <c r="D8" s="19"/>
      <c r="E8" s="19">
        <v>0</v>
      </c>
      <c r="F8" s="19">
        <v>156</v>
      </c>
      <c r="G8" s="19">
        <v>116</v>
      </c>
      <c r="H8" s="19">
        <f>VLOOKUP(B8,'[1]HSN CODE  TAX RATE'!$A$1:$E$13821,5,0)</f>
        <v>18</v>
      </c>
      <c r="I8" s="19">
        <f>VLOOKUP(B8,'[1]HSN CODE  TAX RATE'!$A$1:$E$13823,2,0)</f>
        <v>84212900</v>
      </c>
    </row>
    <row r="9" spans="1:11" x14ac:dyDescent="0.25">
      <c r="A9" s="19">
        <v>8</v>
      </c>
      <c r="B9" s="19" t="s">
        <v>84</v>
      </c>
      <c r="C9" s="19" t="s">
        <v>1853</v>
      </c>
      <c r="D9" s="19"/>
      <c r="E9" s="19">
        <v>0</v>
      </c>
      <c r="F9" s="19">
        <v>165</v>
      </c>
      <c r="G9" s="19">
        <v>112</v>
      </c>
      <c r="H9" s="19">
        <f>VLOOKUP(B9,'[1]HSN CODE  TAX RATE'!$A$1:$E$13821,5,0)</f>
        <v>18</v>
      </c>
      <c r="I9" s="19">
        <f>VLOOKUP(B9,'[1]HSN CODE  TAX RATE'!$A$1:$E$13823,2,0)</f>
        <v>84212300</v>
      </c>
    </row>
    <row r="10" spans="1:11" ht="14.25" customHeight="1" x14ac:dyDescent="0.25">
      <c r="A10" s="19">
        <v>9</v>
      </c>
      <c r="B10" s="19" t="s">
        <v>85</v>
      </c>
      <c r="C10" s="19" t="s">
        <v>96</v>
      </c>
      <c r="D10" s="19"/>
      <c r="E10" s="19">
        <v>1</v>
      </c>
      <c r="F10" s="19">
        <v>157</v>
      </c>
      <c r="G10" s="19">
        <v>104</v>
      </c>
      <c r="H10" s="19">
        <f>VLOOKUP(B10,'[1]HSN CODE  TAX RATE'!$A$1:$E$13821,5,0)</f>
        <v>18</v>
      </c>
      <c r="I10" s="19">
        <f>VLOOKUP(B10,'[1]HSN CODE  TAX RATE'!$A$1:$E$13823,2,0)</f>
        <v>84213100</v>
      </c>
    </row>
    <row r="11" spans="1:11" x14ac:dyDescent="0.25">
      <c r="A11" s="19">
        <v>10</v>
      </c>
      <c r="B11" s="19" t="s">
        <v>88</v>
      </c>
      <c r="C11" s="19" t="s">
        <v>498</v>
      </c>
      <c r="D11" s="19"/>
      <c r="E11" s="19">
        <v>14</v>
      </c>
      <c r="F11" s="19">
        <v>1454</v>
      </c>
      <c r="G11" s="19">
        <v>995</v>
      </c>
      <c r="H11" s="19">
        <f>VLOOKUP(B11,'[1]HSN CODE  TAX RATE'!$A$1:$E$13821,5,0)</f>
        <v>18</v>
      </c>
      <c r="I11" s="19">
        <f>VLOOKUP(B11,'[1]HSN CODE  TAX RATE'!$A$1:$E$13823,2,0)</f>
        <v>84212300</v>
      </c>
    </row>
    <row r="12" spans="1:11" x14ac:dyDescent="0.25">
      <c r="A12" s="19">
        <v>11</v>
      </c>
      <c r="B12" s="19" t="s">
        <v>92</v>
      </c>
      <c r="C12" s="19" t="s">
        <v>95</v>
      </c>
      <c r="D12" s="19"/>
      <c r="E12" s="19">
        <v>0</v>
      </c>
      <c r="F12" s="19" t="s">
        <v>1781</v>
      </c>
      <c r="G12" s="19">
        <v>50</v>
      </c>
      <c r="H12" s="19">
        <f>VLOOKUP(B12,'[1]HSN CODE  TAX RATE'!$A$1:$E$13821,5,0)</f>
        <v>18</v>
      </c>
      <c r="I12" s="19">
        <f>VLOOKUP(B12,'[1]HSN CODE  TAX RATE'!$A$1:$E$13823,2,0)</f>
        <v>84212900</v>
      </c>
    </row>
    <row r="13" spans="1:11" x14ac:dyDescent="0.25">
      <c r="A13" s="19">
        <v>12</v>
      </c>
      <c r="B13" s="19" t="s">
        <v>99</v>
      </c>
      <c r="C13" s="19" t="s">
        <v>556</v>
      </c>
      <c r="D13" s="19"/>
      <c r="E13" s="19">
        <v>1</v>
      </c>
      <c r="F13" s="19">
        <v>226</v>
      </c>
      <c r="G13" s="19">
        <v>155</v>
      </c>
      <c r="H13" s="19">
        <f>VLOOKUP(B13,'[1]HSN CODE  TAX RATE'!$A$1:$E$13821,5,0)</f>
        <v>18</v>
      </c>
      <c r="I13" s="19">
        <f>VLOOKUP(B13,'[1]HSN CODE  TAX RATE'!$A$1:$E$13823,2,0)</f>
        <v>84212900</v>
      </c>
    </row>
    <row r="14" spans="1:11" x14ac:dyDescent="0.25">
      <c r="A14" s="19">
        <v>13</v>
      </c>
      <c r="B14" s="34" t="s">
        <v>100</v>
      </c>
      <c r="C14" s="19" t="s">
        <v>97</v>
      </c>
      <c r="D14" s="19"/>
      <c r="E14" s="34">
        <v>2</v>
      </c>
      <c r="F14" s="19">
        <v>752</v>
      </c>
      <c r="G14" s="19">
        <v>505</v>
      </c>
      <c r="H14" s="19">
        <f>VLOOKUP(B14,'[1]HSN CODE  TAX RATE'!$A$1:$E$13821,5,0)</f>
        <v>18</v>
      </c>
      <c r="I14" s="19">
        <f>VLOOKUP(B14,'[1]HSN CODE  TAX RATE'!$A$1:$E$13823,2,0)</f>
        <v>84213100</v>
      </c>
    </row>
    <row r="15" spans="1:11" x14ac:dyDescent="0.25">
      <c r="A15" s="19">
        <v>14</v>
      </c>
      <c r="B15" s="19" t="s">
        <v>101</v>
      </c>
      <c r="C15" s="19" t="s">
        <v>98</v>
      </c>
      <c r="D15" s="19"/>
      <c r="E15" s="19">
        <v>4</v>
      </c>
      <c r="F15" s="19" t="s">
        <v>1439</v>
      </c>
      <c r="G15" s="19" t="s">
        <v>1440</v>
      </c>
      <c r="H15" s="19">
        <f>VLOOKUP(B15,'[1]HSN CODE  TAX RATE'!$A$1:$E$13821,5,0)</f>
        <v>18</v>
      </c>
      <c r="I15" s="19">
        <f>VLOOKUP(B15,'[1]HSN CODE  TAX RATE'!$A$1:$E$13823,2,0)</f>
        <v>84213100</v>
      </c>
    </row>
    <row r="16" spans="1:11" ht="16.5" customHeight="1" x14ac:dyDescent="0.25">
      <c r="A16" s="19">
        <v>15</v>
      </c>
      <c r="B16" s="19" t="s">
        <v>102</v>
      </c>
      <c r="C16" s="19" t="s">
        <v>1321</v>
      </c>
      <c r="D16" s="19"/>
      <c r="E16" s="19">
        <v>47</v>
      </c>
      <c r="F16" s="19">
        <v>2143</v>
      </c>
      <c r="G16" s="19">
        <v>1430</v>
      </c>
      <c r="H16" s="19">
        <f>VLOOKUP(B16,'[1]HSN CODE  TAX RATE'!$A$1:$E$13821,5,0)</f>
        <v>18</v>
      </c>
      <c r="I16" s="19">
        <f>VLOOKUP(B16,'[1]HSN CODE  TAX RATE'!$A$1:$E$13823,2,0)</f>
        <v>84212300</v>
      </c>
      <c r="J16" s="23"/>
    </row>
    <row r="17" spans="1:10" x14ac:dyDescent="0.25">
      <c r="A17" s="19">
        <v>16</v>
      </c>
      <c r="B17" s="19" t="s">
        <v>111</v>
      </c>
      <c r="C17" s="19" t="s">
        <v>295</v>
      </c>
      <c r="D17" s="19"/>
      <c r="E17" s="19">
        <v>12</v>
      </c>
      <c r="F17" s="19">
        <v>3257</v>
      </c>
      <c r="G17" s="19">
        <v>2280</v>
      </c>
      <c r="H17" s="19">
        <f>VLOOKUP(B17,'[1]HSN CODE  TAX RATE'!$A$1:$E$13821,5,0)</f>
        <v>18</v>
      </c>
      <c r="I17" s="19">
        <f>VLOOKUP(B17,'[1]HSN CODE  TAX RATE'!$A$1:$E$13823,2,0)</f>
        <v>84212300</v>
      </c>
    </row>
    <row r="18" spans="1:10" x14ac:dyDescent="0.25">
      <c r="A18" s="19">
        <v>17</v>
      </c>
      <c r="B18" s="19" t="s">
        <v>120</v>
      </c>
      <c r="C18" s="19" t="s">
        <v>121</v>
      </c>
      <c r="D18" s="19"/>
      <c r="E18" s="19">
        <v>1</v>
      </c>
      <c r="F18" s="19">
        <v>117</v>
      </c>
      <c r="G18" s="19">
        <v>95</v>
      </c>
      <c r="H18" s="19">
        <f>VLOOKUP(B18,'[1]HSN CODE  TAX RATE'!$A$1:$E$13821,5,0)</f>
        <v>18</v>
      </c>
      <c r="I18" s="19">
        <f>VLOOKUP(B18,'[1]HSN CODE  TAX RATE'!$A$1:$E$13823,2,0)</f>
        <v>84212300</v>
      </c>
    </row>
    <row r="19" spans="1:10" x14ac:dyDescent="0.25">
      <c r="A19" s="19">
        <v>18</v>
      </c>
      <c r="B19" s="19" t="s">
        <v>122</v>
      </c>
      <c r="C19" s="19" t="s">
        <v>123</v>
      </c>
      <c r="D19" s="19"/>
      <c r="E19" s="19">
        <v>3</v>
      </c>
      <c r="F19" s="19">
        <v>106</v>
      </c>
      <c r="G19" s="19">
        <v>74</v>
      </c>
      <c r="H19" s="19">
        <f>VLOOKUP(B19,'[1]HSN CODE  TAX RATE'!$A$1:$E$13821,5,0)</f>
        <v>18</v>
      </c>
      <c r="I19" s="19">
        <f>VLOOKUP(B19,'[1]HSN CODE  TAX RATE'!$A$1:$E$13823,2,0)</f>
        <v>84212300</v>
      </c>
    </row>
    <row r="20" spans="1:10" x14ac:dyDescent="0.25">
      <c r="A20" s="19">
        <v>19</v>
      </c>
      <c r="B20" s="19" t="s">
        <v>124</v>
      </c>
      <c r="C20" s="19" t="s">
        <v>752</v>
      </c>
      <c r="D20" s="19"/>
      <c r="E20" s="19">
        <v>0</v>
      </c>
      <c r="F20" s="19" t="s">
        <v>2421</v>
      </c>
      <c r="G20" s="19">
        <v>89</v>
      </c>
      <c r="H20" s="19">
        <f>VLOOKUP(B20,'[1]HSN CODE  TAX RATE'!$A$1:$E$13821,5,0)</f>
        <v>18</v>
      </c>
      <c r="I20" s="19">
        <f>VLOOKUP(B20,'[1]HSN CODE  TAX RATE'!$A$1:$E$13823,2,0)</f>
        <v>84212300</v>
      </c>
    </row>
    <row r="21" spans="1:10" x14ac:dyDescent="0.25">
      <c r="A21" s="19">
        <v>20</v>
      </c>
      <c r="B21" s="19" t="s">
        <v>125</v>
      </c>
      <c r="C21" s="19" t="s">
        <v>627</v>
      </c>
      <c r="D21" s="19"/>
      <c r="E21" s="19">
        <v>4</v>
      </c>
      <c r="F21" s="19"/>
      <c r="G21" s="19">
        <v>64</v>
      </c>
      <c r="H21" s="19">
        <f>VLOOKUP(B21,'[1]HSN CODE  TAX RATE'!$A$1:$E$13821,5,0)</f>
        <v>18</v>
      </c>
      <c r="I21" s="19">
        <f>VLOOKUP(B21,'[1]HSN CODE  TAX RATE'!$A$1:$E$13823,2,0)</f>
        <v>84212300</v>
      </c>
    </row>
    <row r="22" spans="1:10" x14ac:dyDescent="0.25">
      <c r="A22" s="19">
        <v>21</v>
      </c>
      <c r="B22" s="19" t="s">
        <v>126</v>
      </c>
      <c r="C22" s="19" t="s">
        <v>127</v>
      </c>
      <c r="D22" s="19"/>
      <c r="E22" s="19">
        <v>0</v>
      </c>
      <c r="F22" s="19">
        <v>228</v>
      </c>
      <c r="G22" s="19">
        <v>180</v>
      </c>
      <c r="H22" s="19">
        <f>VLOOKUP(B22,'[1]HSN CODE  TAX RATE'!$A$1:$E$13821,5,0)</f>
        <v>18</v>
      </c>
      <c r="I22" s="19">
        <f>VLOOKUP(B22,'[1]HSN CODE  TAX RATE'!$A$1:$E$13823,2,0)</f>
        <v>84213100</v>
      </c>
    </row>
    <row r="23" spans="1:10" x14ac:dyDescent="0.25">
      <c r="A23" s="19">
        <v>22</v>
      </c>
      <c r="B23" s="19" t="s">
        <v>128</v>
      </c>
      <c r="C23" s="19" t="s">
        <v>129</v>
      </c>
      <c r="D23" s="19"/>
      <c r="E23" s="19">
        <v>7</v>
      </c>
      <c r="F23" s="19">
        <v>158</v>
      </c>
      <c r="G23" s="19">
        <v>104</v>
      </c>
      <c r="H23" s="19">
        <f>VLOOKUP(B23,'[1]HSN CODE  TAX RATE'!$A$1:$E$13821,5,0)</f>
        <v>18</v>
      </c>
      <c r="I23" s="19">
        <f>VLOOKUP(B23,'[1]HSN CODE  TAX RATE'!$A$1:$E$13823,2,0)</f>
        <v>84213100</v>
      </c>
    </row>
    <row r="24" spans="1:10" x14ac:dyDescent="0.25">
      <c r="A24" s="19">
        <v>23</v>
      </c>
      <c r="B24" s="19" t="s">
        <v>130</v>
      </c>
      <c r="C24" s="22" t="s">
        <v>131</v>
      </c>
      <c r="D24" s="22"/>
      <c r="E24" s="19">
        <v>2</v>
      </c>
      <c r="F24" s="19">
        <v>90</v>
      </c>
      <c r="G24" s="19">
        <v>52</v>
      </c>
      <c r="H24" s="19">
        <f>VLOOKUP(B24,'[1]HSN CODE  TAX RATE'!$A$1:$E$13821,5,0)</f>
        <v>18</v>
      </c>
      <c r="I24" s="19">
        <f>VLOOKUP(B24,'[1]HSN CODE  TAX RATE'!$A$1:$E$13823,2,0)</f>
        <v>84219900</v>
      </c>
    </row>
    <row r="25" spans="1:10" x14ac:dyDescent="0.25">
      <c r="A25" s="19">
        <v>24</v>
      </c>
      <c r="B25" s="19" t="s">
        <v>132</v>
      </c>
      <c r="C25" s="19" t="s">
        <v>133</v>
      </c>
      <c r="D25" s="19"/>
      <c r="E25" s="19">
        <v>0</v>
      </c>
      <c r="F25" s="19">
        <v>98</v>
      </c>
      <c r="G25" s="19">
        <v>56</v>
      </c>
      <c r="H25" s="19">
        <f>VLOOKUP(B25,'[1]HSN CODE  TAX RATE'!$A$1:$E$13821,5,0)</f>
        <v>18</v>
      </c>
      <c r="I25" s="19">
        <f>VLOOKUP(B25,'[1]HSN CODE  TAX RATE'!$A$1:$E$13823,2,0)</f>
        <v>84219900</v>
      </c>
    </row>
    <row r="26" spans="1:10" x14ac:dyDescent="0.25">
      <c r="A26" s="19">
        <v>25</v>
      </c>
      <c r="B26" s="19" t="s">
        <v>134</v>
      </c>
      <c r="C26" s="19" t="s">
        <v>135</v>
      </c>
      <c r="D26" s="19"/>
      <c r="E26" s="19">
        <v>0</v>
      </c>
      <c r="F26" s="19">
        <v>115</v>
      </c>
      <c r="G26" s="19">
        <v>51</v>
      </c>
      <c r="H26" s="19">
        <f>VLOOKUP(B26,'[1]HSN CODE  TAX RATE'!$A$1:$E$13821,5,0)</f>
        <v>18</v>
      </c>
      <c r="I26" s="19">
        <f>VLOOKUP(B26,'[1]HSN CODE  TAX RATE'!$A$1:$E$13823,2,0)</f>
        <v>84219900</v>
      </c>
      <c r="J26" s="7" t="s">
        <v>669</v>
      </c>
    </row>
    <row r="27" spans="1:10" x14ac:dyDescent="0.25">
      <c r="A27" s="19">
        <v>26</v>
      </c>
      <c r="B27" s="19" t="s">
        <v>136</v>
      </c>
      <c r="C27" s="19" t="s">
        <v>137</v>
      </c>
      <c r="D27" s="19"/>
      <c r="E27" s="19">
        <v>2</v>
      </c>
      <c r="F27" s="19">
        <v>148</v>
      </c>
      <c r="G27" s="19">
        <v>79</v>
      </c>
      <c r="H27" s="19">
        <f>VLOOKUP(B27,'[1]HSN CODE  TAX RATE'!$A$1:$E$13821,5,0)</f>
        <v>18</v>
      </c>
      <c r="I27" s="19">
        <f>VLOOKUP(B27,'[1]HSN CODE  TAX RATE'!$A$1:$E$13823,2,0)</f>
        <v>84219900</v>
      </c>
    </row>
    <row r="28" spans="1:10" x14ac:dyDescent="0.25">
      <c r="A28" s="19">
        <v>27</v>
      </c>
      <c r="B28" s="19" t="s">
        <v>138</v>
      </c>
      <c r="C28" s="19" t="s">
        <v>139</v>
      </c>
      <c r="D28" s="19"/>
      <c r="E28" s="19">
        <v>8</v>
      </c>
      <c r="F28" s="19">
        <v>125</v>
      </c>
      <c r="G28" s="19">
        <v>66</v>
      </c>
      <c r="H28" s="19">
        <f>VLOOKUP(B28,'[1]HSN CODE  TAX RATE'!$A$1:$E$13821,5,0)</f>
        <v>18</v>
      </c>
      <c r="I28" s="19">
        <f>VLOOKUP(B28,'[1]HSN CODE  TAX RATE'!$A$1:$E$13823,2,0)</f>
        <v>84219900</v>
      </c>
    </row>
    <row r="29" spans="1:10" x14ac:dyDescent="0.25">
      <c r="A29" s="19">
        <v>28</v>
      </c>
      <c r="B29" s="19" t="s">
        <v>201</v>
      </c>
      <c r="C29" s="19" t="s">
        <v>202</v>
      </c>
      <c r="D29" s="19"/>
      <c r="E29" s="19">
        <v>1</v>
      </c>
      <c r="F29" s="19">
        <v>135</v>
      </c>
      <c r="G29" s="19">
        <v>69</v>
      </c>
      <c r="H29" s="19">
        <f>VLOOKUP(B29,'[1]HSN CODE  TAX RATE'!$A$1:$E$13821,5,0)</f>
        <v>18</v>
      </c>
      <c r="I29" s="19">
        <f>VLOOKUP(B29,'[1]HSN CODE  TAX RATE'!$A$1:$E$13823,2,0)</f>
        <v>84219900</v>
      </c>
    </row>
    <row r="30" spans="1:10" x14ac:dyDescent="0.25">
      <c r="A30" s="19">
        <v>29</v>
      </c>
      <c r="B30" s="19" t="s">
        <v>149</v>
      </c>
      <c r="C30" s="19" t="s">
        <v>371</v>
      </c>
      <c r="D30" s="19"/>
      <c r="E30" s="19">
        <v>3</v>
      </c>
      <c r="F30" s="19">
        <v>316</v>
      </c>
      <c r="G30" s="19">
        <v>220</v>
      </c>
      <c r="H30" s="19">
        <f>VLOOKUP(B30,'[1]HSN CODE  TAX RATE'!$A$1:$E$13821,5,0)</f>
        <v>18</v>
      </c>
      <c r="I30" s="19">
        <f>VLOOKUP(B30,'[1]HSN CODE  TAX RATE'!$A$1:$E$13823,2,0)</f>
        <v>84213100</v>
      </c>
    </row>
    <row r="31" spans="1:10" x14ac:dyDescent="0.25">
      <c r="A31" s="19">
        <v>30</v>
      </c>
      <c r="B31" s="19" t="s">
        <v>151</v>
      </c>
      <c r="C31" s="19" t="s">
        <v>1438</v>
      </c>
      <c r="D31" s="19"/>
      <c r="E31" s="19">
        <v>100</v>
      </c>
      <c r="F31" s="19">
        <v>631</v>
      </c>
      <c r="G31" s="19">
        <v>395</v>
      </c>
      <c r="H31" s="19">
        <f>VLOOKUP(B31,'[1]HSN CODE  TAX RATE'!$A$1:$E$13821,5,0)</f>
        <v>18</v>
      </c>
      <c r="I31" s="19">
        <f>VLOOKUP(B31,'[1]HSN CODE  TAX RATE'!$A$1:$E$13823,2,0)</f>
        <v>84219900</v>
      </c>
    </row>
    <row r="32" spans="1:10" x14ac:dyDescent="0.25">
      <c r="A32" s="19">
        <v>31</v>
      </c>
      <c r="B32" s="19" t="s">
        <v>157</v>
      </c>
      <c r="C32" s="19" t="s">
        <v>350</v>
      </c>
      <c r="D32" s="19"/>
      <c r="E32" s="19">
        <v>0</v>
      </c>
      <c r="F32" s="19">
        <v>224</v>
      </c>
      <c r="G32" s="19">
        <v>147</v>
      </c>
      <c r="H32" s="19">
        <f>VLOOKUP(B32,'[1]HSN CODE  TAX RATE'!$A$1:$E$13821,5,0)</f>
        <v>18</v>
      </c>
      <c r="I32" s="19">
        <f>VLOOKUP(B32,'[1]HSN CODE  TAX RATE'!$A$1:$E$13823,2,0)</f>
        <v>84212300</v>
      </c>
    </row>
    <row r="33" spans="1:9" x14ac:dyDescent="0.25">
      <c r="A33" s="19">
        <v>32</v>
      </c>
      <c r="B33" s="19" t="s">
        <v>158</v>
      </c>
      <c r="C33" s="19" t="s">
        <v>349</v>
      </c>
      <c r="D33" s="19"/>
      <c r="E33" s="19">
        <v>0</v>
      </c>
      <c r="F33" s="19">
        <v>287</v>
      </c>
      <c r="G33" s="19">
        <v>188</v>
      </c>
      <c r="H33" s="19">
        <f>VLOOKUP(B33,'[1]HSN CODE  TAX RATE'!$A$1:$E$13821,5,0)</f>
        <v>18</v>
      </c>
      <c r="I33" s="19">
        <f>VLOOKUP(B33,'[1]HSN CODE  TAX RATE'!$A$1:$E$13823,2,0)</f>
        <v>84212300</v>
      </c>
    </row>
    <row r="34" spans="1:9" x14ac:dyDescent="0.25">
      <c r="A34" s="19">
        <v>33</v>
      </c>
      <c r="B34" s="19" t="s">
        <v>170</v>
      </c>
      <c r="C34" s="19" t="s">
        <v>514</v>
      </c>
      <c r="D34" s="19"/>
      <c r="E34" s="19">
        <v>2</v>
      </c>
      <c r="F34" s="19">
        <v>205</v>
      </c>
      <c r="G34" s="19">
        <v>135</v>
      </c>
      <c r="H34" s="19">
        <f>VLOOKUP(B34,'[1]HSN CODE  TAX RATE'!$A$1:$E$13821,5,0)</f>
        <v>18</v>
      </c>
      <c r="I34" s="19">
        <f>VLOOKUP(B34,'[1]HSN CODE  TAX RATE'!$A$1:$E$13823,2,0)</f>
        <v>84212300</v>
      </c>
    </row>
    <row r="35" spans="1:9" x14ac:dyDescent="0.25">
      <c r="A35" s="19">
        <v>34</v>
      </c>
      <c r="B35" s="19" t="s">
        <v>171</v>
      </c>
      <c r="C35" s="19" t="s">
        <v>172</v>
      </c>
      <c r="D35" s="19"/>
      <c r="E35" s="19">
        <v>0</v>
      </c>
      <c r="F35" s="19">
        <v>78</v>
      </c>
      <c r="G35" s="19">
        <v>55</v>
      </c>
      <c r="H35" s="19">
        <f>VLOOKUP(B35,'[1]HSN CODE  TAX RATE'!$A$1:$E$13821,5,0)</f>
        <v>18</v>
      </c>
      <c r="I35" s="19">
        <f>VLOOKUP(B35,'[1]HSN CODE  TAX RATE'!$A$1:$E$13823,2,0)</f>
        <v>84212900</v>
      </c>
    </row>
    <row r="36" spans="1:9" x14ac:dyDescent="0.25">
      <c r="A36" s="19">
        <v>35</v>
      </c>
      <c r="B36" s="19" t="s">
        <v>179</v>
      </c>
      <c r="C36" s="19" t="s">
        <v>431</v>
      </c>
      <c r="D36" s="19"/>
      <c r="E36" s="19">
        <v>3</v>
      </c>
      <c r="F36" s="19">
        <v>149</v>
      </c>
      <c r="G36" s="19">
        <v>98</v>
      </c>
      <c r="H36" s="19">
        <f>VLOOKUP(B36,'[1]HSN CODE  TAX RATE'!$A$1:$E$13821,5,0)</f>
        <v>18</v>
      </c>
      <c r="I36" s="19">
        <f>VLOOKUP(B36,'[1]HSN CODE  TAX RATE'!$A$1:$E$13823,2,0)</f>
        <v>84219900</v>
      </c>
    </row>
    <row r="37" spans="1:9" x14ac:dyDescent="0.25">
      <c r="A37" s="19">
        <v>36</v>
      </c>
      <c r="B37" s="19" t="s">
        <v>189</v>
      </c>
      <c r="C37" s="19" t="s">
        <v>190</v>
      </c>
      <c r="D37" s="19"/>
      <c r="E37" s="19">
        <v>8</v>
      </c>
      <c r="F37" s="19">
        <v>308</v>
      </c>
      <c r="G37" s="19">
        <v>201</v>
      </c>
      <c r="H37" s="19">
        <f>VLOOKUP(B37,'[1]HSN CODE  TAX RATE'!$A$1:$E$13821,5,0)</f>
        <v>18</v>
      </c>
      <c r="I37" s="19">
        <f>VLOOKUP(B37,'[1]HSN CODE  TAX RATE'!$A$1:$E$13823,2,0)</f>
        <v>84219900</v>
      </c>
    </row>
    <row r="38" spans="1:9" x14ac:dyDescent="0.25">
      <c r="A38" s="19">
        <v>37</v>
      </c>
      <c r="B38" s="19" t="s">
        <v>191</v>
      </c>
      <c r="C38" s="19" t="s">
        <v>192</v>
      </c>
      <c r="D38" s="19"/>
      <c r="E38" s="19">
        <v>5</v>
      </c>
      <c r="F38" s="19">
        <v>305</v>
      </c>
      <c r="G38" s="19">
        <v>196</v>
      </c>
      <c r="H38" s="19">
        <f>VLOOKUP(B38,'[1]HSN CODE  TAX RATE'!$A$1:$E$13821,5,0)</f>
        <v>18</v>
      </c>
      <c r="I38" s="19">
        <f>VLOOKUP(B38,'[1]HSN CODE  TAX RATE'!$A$1:$E$13823,2,0)</f>
        <v>84219900</v>
      </c>
    </row>
    <row r="39" spans="1:9" x14ac:dyDescent="0.25">
      <c r="A39" s="19">
        <v>38</v>
      </c>
      <c r="B39" s="19" t="s">
        <v>208</v>
      </c>
      <c r="C39" s="19" t="s">
        <v>209</v>
      </c>
      <c r="D39" s="19"/>
      <c r="E39" s="19">
        <v>7</v>
      </c>
      <c r="F39" s="19" t="s">
        <v>2488</v>
      </c>
      <c r="G39" s="19">
        <v>135</v>
      </c>
      <c r="H39" s="19">
        <f>VLOOKUP(B39,'[1]HSN CODE  TAX RATE'!$A$1:$E$13821,5,0)</f>
        <v>18</v>
      </c>
      <c r="I39" s="19">
        <f>VLOOKUP(B39,'[1]HSN CODE  TAX RATE'!$A$1:$E$13823,2,0)</f>
        <v>84219900</v>
      </c>
    </row>
    <row r="40" spans="1:9" x14ac:dyDescent="0.25">
      <c r="A40" s="19">
        <v>39</v>
      </c>
      <c r="B40" s="19" t="s">
        <v>214</v>
      </c>
      <c r="C40" s="19" t="s">
        <v>216</v>
      </c>
      <c r="D40" s="19"/>
      <c r="E40" s="19">
        <v>0</v>
      </c>
      <c r="F40" s="19">
        <v>218</v>
      </c>
      <c r="G40" s="19">
        <v>143</v>
      </c>
      <c r="H40" s="19">
        <f>VLOOKUP(B40,'[1]HSN CODE  TAX RATE'!$A$1:$E$13821,5,0)</f>
        <v>18</v>
      </c>
      <c r="I40" s="19">
        <f>VLOOKUP(B40,'[1]HSN CODE  TAX RATE'!$A$1:$E$13823,2,0)</f>
        <v>84213100</v>
      </c>
    </row>
    <row r="41" spans="1:9" x14ac:dyDescent="0.25">
      <c r="A41" s="19">
        <v>40</v>
      </c>
      <c r="B41" s="19" t="s">
        <v>225</v>
      </c>
      <c r="C41" s="19" t="s">
        <v>626</v>
      </c>
      <c r="D41" s="19"/>
      <c r="E41" s="19">
        <v>3</v>
      </c>
      <c r="F41" s="19" t="s">
        <v>2492</v>
      </c>
      <c r="G41" s="19">
        <v>79</v>
      </c>
      <c r="H41" s="19">
        <f>VLOOKUP(B41,'[1]HSN CODE  TAX RATE'!$A$1:$E$13821,5,0)</f>
        <v>18</v>
      </c>
      <c r="I41" s="19">
        <f>VLOOKUP(B41,'[1]HSN CODE  TAX RATE'!$A$1:$E$13823,2,0)</f>
        <v>84212300</v>
      </c>
    </row>
    <row r="42" spans="1:9" x14ac:dyDescent="0.25">
      <c r="A42" s="19">
        <v>41</v>
      </c>
      <c r="B42" s="19" t="s">
        <v>232</v>
      </c>
      <c r="C42" s="19" t="s">
        <v>338</v>
      </c>
      <c r="D42" s="19"/>
      <c r="E42" s="19">
        <v>0</v>
      </c>
      <c r="F42" s="19">
        <v>188</v>
      </c>
      <c r="G42" s="19">
        <v>123</v>
      </c>
      <c r="H42" s="19">
        <f>VLOOKUP(B42,'[1]HSN CODE  TAX RATE'!$A$1:$E$13821,5,0)</f>
        <v>18</v>
      </c>
      <c r="I42" s="19">
        <f>VLOOKUP(B42,'[1]HSN CODE  TAX RATE'!$A$1:$E$13823,2,0)</f>
        <v>84213100</v>
      </c>
    </row>
    <row r="43" spans="1:9" x14ac:dyDescent="0.25">
      <c r="A43" s="19">
        <v>42</v>
      </c>
      <c r="B43" s="19" t="s">
        <v>318</v>
      </c>
      <c r="C43" s="19" t="s">
        <v>339</v>
      </c>
      <c r="D43" s="19"/>
      <c r="E43" s="19">
        <v>1</v>
      </c>
      <c r="F43" s="19">
        <v>308</v>
      </c>
      <c r="G43" s="19">
        <v>202</v>
      </c>
      <c r="H43" s="19">
        <f>VLOOKUP(B43,'[1]HSN CODE  TAX RATE'!$A$1:$E$13821,5,0)</f>
        <v>18</v>
      </c>
      <c r="I43" s="19">
        <f>VLOOKUP(B43,'[1]HSN CODE  TAX RATE'!$A$1:$E$13823,2,0)</f>
        <v>84213100</v>
      </c>
    </row>
    <row r="44" spans="1:9" x14ac:dyDescent="0.25">
      <c r="A44" s="19">
        <v>43</v>
      </c>
      <c r="B44" s="19" t="s">
        <v>325</v>
      </c>
      <c r="C44" s="19" t="s">
        <v>326</v>
      </c>
      <c r="D44" s="19"/>
      <c r="E44" s="19">
        <v>1</v>
      </c>
      <c r="F44" s="19">
        <v>97</v>
      </c>
      <c r="G44" s="19">
        <v>77</v>
      </c>
      <c r="H44" s="19">
        <f>VLOOKUP(B44,'[1]HSN CODE  TAX RATE'!$A$1:$E$13821,5,0)</f>
        <v>18</v>
      </c>
      <c r="I44" s="19">
        <f>VLOOKUP(B44,'[1]HSN CODE  TAX RATE'!$A$1:$E$13823,2,0)</f>
        <v>84212300</v>
      </c>
    </row>
    <row r="45" spans="1:9" x14ac:dyDescent="0.25">
      <c r="A45" s="19">
        <v>44</v>
      </c>
      <c r="B45" s="19" t="s">
        <v>335</v>
      </c>
      <c r="C45" s="19" t="s">
        <v>3718</v>
      </c>
      <c r="D45" s="19"/>
      <c r="E45" s="19" t="s">
        <v>3719</v>
      </c>
      <c r="F45" s="19">
        <v>326</v>
      </c>
      <c r="G45" s="19">
        <v>214</v>
      </c>
      <c r="H45" s="19">
        <f>VLOOKUP(B45,'[1]HSN CODE  TAX RATE'!$A$1:$E$13821,5,0)</f>
        <v>18</v>
      </c>
      <c r="I45" s="19">
        <f>VLOOKUP(B45,'[1]HSN CODE  TAX RATE'!$A$1:$E$13823,2,0)</f>
        <v>84212900</v>
      </c>
    </row>
    <row r="46" spans="1:9" x14ac:dyDescent="0.25">
      <c r="A46" s="19">
        <v>45</v>
      </c>
      <c r="B46" s="19" t="s">
        <v>342</v>
      </c>
      <c r="C46" s="19" t="s">
        <v>355</v>
      </c>
      <c r="D46" s="19"/>
      <c r="E46" s="19">
        <v>4</v>
      </c>
      <c r="F46" s="19">
        <v>713</v>
      </c>
      <c r="G46" s="19">
        <v>469</v>
      </c>
      <c r="H46" s="19">
        <f>VLOOKUP(B46,'[1]HSN CODE  TAX RATE'!$A$1:$E$13821,5,0)</f>
        <v>18</v>
      </c>
      <c r="I46" s="19">
        <f>VLOOKUP(B46,'[1]HSN CODE  TAX RATE'!$A$1:$E$13823,2,0)</f>
        <v>84213100</v>
      </c>
    </row>
    <row r="47" spans="1:9" x14ac:dyDescent="0.25">
      <c r="A47" s="19">
        <v>46</v>
      </c>
      <c r="B47" s="19" t="s">
        <v>351</v>
      </c>
      <c r="C47" s="19" t="s">
        <v>352</v>
      </c>
      <c r="D47" s="19"/>
      <c r="E47" s="19">
        <v>1</v>
      </c>
      <c r="F47" s="19">
        <v>530</v>
      </c>
      <c r="G47" s="19">
        <v>411</v>
      </c>
      <c r="H47" s="19">
        <f>VLOOKUP(B47,'[1]HSN CODE  TAX RATE'!$A$1:$E$13821,5,0)</f>
        <v>18</v>
      </c>
      <c r="I47" s="19">
        <f>VLOOKUP(B47,'[1]HSN CODE  TAX RATE'!$A$1:$E$13823,2,0)</f>
        <v>84213100</v>
      </c>
    </row>
    <row r="48" spans="1:9" x14ac:dyDescent="0.25">
      <c r="A48" s="19">
        <v>47</v>
      </c>
      <c r="B48" s="19" t="s">
        <v>353</v>
      </c>
      <c r="C48" s="19" t="s">
        <v>354</v>
      </c>
      <c r="D48" s="19"/>
      <c r="E48" s="19"/>
      <c r="F48" s="19">
        <v>180</v>
      </c>
      <c r="G48" s="19">
        <v>100</v>
      </c>
      <c r="H48" s="19">
        <f>VLOOKUP(B48,'[1]HSN CODE  TAX RATE'!$A$1:$E$13821,5,0)</f>
        <v>18</v>
      </c>
      <c r="I48" s="19">
        <f>VLOOKUP(B48,'[1]HSN CODE  TAX RATE'!$A$1:$E$13823,2,0)</f>
        <v>84219900</v>
      </c>
    </row>
    <row r="49" spans="1:9" x14ac:dyDescent="0.25">
      <c r="A49" s="19">
        <v>48</v>
      </c>
      <c r="B49" s="19" t="s">
        <v>373</v>
      </c>
      <c r="C49" s="19" t="s">
        <v>403</v>
      </c>
      <c r="D49" s="19"/>
      <c r="E49" s="23">
        <v>5</v>
      </c>
      <c r="F49" s="23">
        <v>187</v>
      </c>
      <c r="G49" s="23">
        <v>139</v>
      </c>
      <c r="H49" s="19">
        <f>VLOOKUP(B49,'[1]HSN CODE  TAX RATE'!$A$1:$E$13821,5,0)</f>
        <v>18</v>
      </c>
      <c r="I49" s="19">
        <f>VLOOKUP(B49,'[1]HSN CODE  TAX RATE'!$A$1:$E$13823,2,0)</f>
        <v>84212900</v>
      </c>
    </row>
    <row r="50" spans="1:9" x14ac:dyDescent="0.25">
      <c r="A50" s="19">
        <v>49</v>
      </c>
      <c r="B50" s="19" t="s">
        <v>374</v>
      </c>
      <c r="C50" s="19" t="s">
        <v>404</v>
      </c>
      <c r="D50" s="19"/>
      <c r="E50" s="23">
        <v>2</v>
      </c>
      <c r="F50" s="23">
        <v>233</v>
      </c>
      <c r="G50" s="23">
        <v>175</v>
      </c>
      <c r="H50" s="19">
        <f>VLOOKUP(B50,'[1]HSN CODE  TAX RATE'!$A$1:$E$13821,5,0)</f>
        <v>18</v>
      </c>
      <c r="I50" s="19">
        <f>VLOOKUP(B50,'[1]HSN CODE  TAX RATE'!$A$1:$E$13823,2,0)</f>
        <v>84213100</v>
      </c>
    </row>
    <row r="51" spans="1:9" x14ac:dyDescent="0.25">
      <c r="A51" s="19">
        <v>50</v>
      </c>
      <c r="B51" s="19" t="s">
        <v>375</v>
      </c>
      <c r="C51" s="19" t="s">
        <v>376</v>
      </c>
      <c r="D51" s="19"/>
      <c r="E51" s="23">
        <v>0</v>
      </c>
      <c r="F51" s="23">
        <v>252</v>
      </c>
      <c r="G51" s="23">
        <v>166</v>
      </c>
      <c r="H51" s="19">
        <f>VLOOKUP(B51,'[1]HSN CODE  TAX RATE'!$A$1:$E$13821,5,0)</f>
        <v>18</v>
      </c>
      <c r="I51" s="19">
        <f>VLOOKUP(B51,'[1]HSN CODE  TAX RATE'!$A$1:$E$13823,2,0)</f>
        <v>84213100</v>
      </c>
    </row>
    <row r="52" spans="1:9" x14ac:dyDescent="0.25">
      <c r="A52" s="19">
        <v>51</v>
      </c>
      <c r="B52" s="19" t="s">
        <v>377</v>
      </c>
      <c r="C52" s="19" t="s">
        <v>378</v>
      </c>
      <c r="D52" s="19"/>
      <c r="E52" s="23">
        <v>5</v>
      </c>
      <c r="F52" s="23" t="s">
        <v>2833</v>
      </c>
      <c r="G52" s="23">
        <v>140</v>
      </c>
      <c r="H52" s="19">
        <f>VLOOKUP(B52,'[1]HSN CODE  TAX RATE'!$A$1:$E$13821,5,0)</f>
        <v>18</v>
      </c>
      <c r="I52" s="19">
        <f>VLOOKUP(B52,'[1]HSN CODE  TAX RATE'!$A$1:$E$13823,2,0)</f>
        <v>84213100</v>
      </c>
    </row>
    <row r="53" spans="1:9" x14ac:dyDescent="0.25">
      <c r="A53" s="19">
        <v>52</v>
      </c>
      <c r="B53" s="23" t="s">
        <v>386</v>
      </c>
      <c r="C53" s="23" t="s">
        <v>387</v>
      </c>
      <c r="D53" s="23"/>
      <c r="E53" s="23">
        <v>0</v>
      </c>
      <c r="F53" s="23" t="s">
        <v>2835</v>
      </c>
      <c r="G53" s="23" t="s">
        <v>2834</v>
      </c>
      <c r="H53" s="19">
        <f>VLOOKUP(B53,'[1]HSN CODE  TAX RATE'!$A$1:$E$13821,5,0)</f>
        <v>18</v>
      </c>
      <c r="I53" s="19">
        <f>VLOOKUP(B53,'[1]HSN CODE  TAX RATE'!$A$1:$E$13823,2,0)</f>
        <v>84219900</v>
      </c>
    </row>
    <row r="54" spans="1:9" x14ac:dyDescent="0.25">
      <c r="A54" s="19">
        <v>53</v>
      </c>
      <c r="B54" s="23" t="s">
        <v>390</v>
      </c>
      <c r="C54" s="23" t="s">
        <v>405</v>
      </c>
      <c r="D54" s="23"/>
      <c r="E54" s="23">
        <v>2</v>
      </c>
      <c r="F54" s="23">
        <v>930</v>
      </c>
      <c r="G54" s="23">
        <v>611</v>
      </c>
      <c r="H54" s="19">
        <f>VLOOKUP(B54,'[1]HSN CODE  TAX RATE'!$A$1:$E$13821,5,0)</f>
        <v>18</v>
      </c>
      <c r="I54" s="19">
        <f>VLOOKUP(B54,'[1]HSN CODE  TAX RATE'!$A$1:$E$13823,2,0)</f>
        <v>84213100</v>
      </c>
    </row>
    <row r="55" spans="1:9" x14ac:dyDescent="0.25">
      <c r="A55" s="19">
        <v>54</v>
      </c>
      <c r="B55" s="23" t="s">
        <v>1772</v>
      </c>
      <c r="C55" s="23" t="s">
        <v>1773</v>
      </c>
      <c r="D55" s="23"/>
      <c r="E55" s="23">
        <v>0</v>
      </c>
      <c r="F55" s="23" t="s">
        <v>2220</v>
      </c>
      <c r="G55" s="23">
        <v>205</v>
      </c>
      <c r="H55" s="19"/>
      <c r="I55" s="19"/>
    </row>
    <row r="56" spans="1:9" x14ac:dyDescent="0.25">
      <c r="A56" s="19">
        <v>55</v>
      </c>
      <c r="B56" s="23" t="s">
        <v>391</v>
      </c>
      <c r="C56" s="23" t="s">
        <v>406</v>
      </c>
      <c r="D56" s="23"/>
      <c r="E56" s="23">
        <v>2</v>
      </c>
      <c r="F56" s="23">
        <v>336</v>
      </c>
      <c r="G56" s="23">
        <v>232</v>
      </c>
      <c r="H56" s="19">
        <f>VLOOKUP(B56,'[1]HSN CODE  TAX RATE'!$A$1:$E$13821,5,0)</f>
        <v>18</v>
      </c>
      <c r="I56" s="19">
        <f>VLOOKUP(B56,'[1]HSN CODE  TAX RATE'!$A$1:$E$13823,2,0)</f>
        <v>84213100</v>
      </c>
    </row>
    <row r="57" spans="1:9" x14ac:dyDescent="0.25">
      <c r="A57" s="19">
        <v>56</v>
      </c>
      <c r="B57" s="23" t="s">
        <v>392</v>
      </c>
      <c r="C57" s="23" t="s">
        <v>411</v>
      </c>
      <c r="D57" s="23"/>
      <c r="E57" s="23">
        <v>2</v>
      </c>
      <c r="F57" s="23">
        <v>230</v>
      </c>
      <c r="G57" s="23">
        <v>155</v>
      </c>
      <c r="H57" s="19">
        <f>VLOOKUP(B57,'[1]HSN CODE  TAX RATE'!$A$1:$E$13821,5,0)</f>
        <v>18</v>
      </c>
      <c r="I57" s="19">
        <f>VLOOKUP(B57,'[1]HSN CODE  TAX RATE'!$A$1:$E$13823,2,0)</f>
        <v>84212300</v>
      </c>
    </row>
    <row r="58" spans="1:9" x14ac:dyDescent="0.25">
      <c r="A58" s="19">
        <v>57</v>
      </c>
      <c r="B58" s="23" t="s">
        <v>396</v>
      </c>
      <c r="C58" s="23" t="s">
        <v>407</v>
      </c>
      <c r="D58" s="23"/>
      <c r="E58" s="23">
        <v>0</v>
      </c>
      <c r="F58" s="23">
        <v>871</v>
      </c>
      <c r="G58" s="23">
        <v>590</v>
      </c>
      <c r="H58" s="19">
        <f>VLOOKUP(B58,'[1]HSN CODE  TAX RATE'!$A$1:$E$13821,5,0)</f>
        <v>18</v>
      </c>
      <c r="I58" s="19">
        <f>VLOOKUP(B58,'[1]HSN CODE  TAX RATE'!$A$1:$E$13823,2,0)</f>
        <v>84213100</v>
      </c>
    </row>
    <row r="59" spans="1:9" x14ac:dyDescent="0.25">
      <c r="A59" s="19">
        <v>58</v>
      </c>
      <c r="B59" s="23" t="s">
        <v>1769</v>
      </c>
      <c r="C59" s="23" t="s">
        <v>1770</v>
      </c>
      <c r="D59" s="23"/>
      <c r="E59" s="23">
        <v>3</v>
      </c>
      <c r="F59" s="23">
        <v>498</v>
      </c>
      <c r="G59" s="23">
        <v>302</v>
      </c>
      <c r="H59" s="19"/>
      <c r="I59" s="19"/>
    </row>
    <row r="60" spans="1:9" x14ac:dyDescent="0.25">
      <c r="A60" s="19">
        <v>59</v>
      </c>
      <c r="B60" s="23" t="s">
        <v>397</v>
      </c>
      <c r="C60" s="23" t="s">
        <v>408</v>
      </c>
      <c r="D60" s="23"/>
      <c r="E60" s="23">
        <v>0</v>
      </c>
      <c r="F60" s="23">
        <v>460</v>
      </c>
      <c r="G60" s="23">
        <v>302</v>
      </c>
      <c r="H60" s="19">
        <f>VLOOKUP(B60,'[1]HSN CODE  TAX RATE'!$A$1:$E$13821,5,0)</f>
        <v>18</v>
      </c>
      <c r="I60" s="19">
        <f>VLOOKUP(B60,'[1]HSN CODE  TAX RATE'!$A$1:$E$13823,2,0)</f>
        <v>84213100</v>
      </c>
    </row>
    <row r="61" spans="1:9" x14ac:dyDescent="0.25">
      <c r="A61" s="19">
        <v>60</v>
      </c>
      <c r="B61" s="23" t="s">
        <v>398</v>
      </c>
      <c r="C61" s="23" t="s">
        <v>409</v>
      </c>
      <c r="D61" s="23"/>
      <c r="E61" s="23">
        <v>1</v>
      </c>
      <c r="F61" s="23">
        <v>171</v>
      </c>
      <c r="G61" s="23">
        <v>112</v>
      </c>
      <c r="H61" s="19">
        <f>VLOOKUP(B61,'[1]HSN CODE  TAX RATE'!$A$1:$E$13821,5,0)</f>
        <v>18</v>
      </c>
      <c r="I61" s="19">
        <f>VLOOKUP(B61,'[1]HSN CODE  TAX RATE'!$A$1:$E$13823,2,0)</f>
        <v>84213100</v>
      </c>
    </row>
    <row r="62" spans="1:9" x14ac:dyDescent="0.25">
      <c r="A62" s="19">
        <v>61</v>
      </c>
      <c r="B62" s="23" t="s">
        <v>1779</v>
      </c>
      <c r="C62" s="23" t="s">
        <v>1780</v>
      </c>
      <c r="D62" s="23"/>
      <c r="E62" s="23">
        <v>2</v>
      </c>
      <c r="F62" s="23">
        <v>498</v>
      </c>
      <c r="G62" s="23">
        <v>302</v>
      </c>
      <c r="H62" s="19"/>
      <c r="I62" s="19"/>
    </row>
    <row r="63" spans="1:9" x14ac:dyDescent="0.25">
      <c r="A63" s="19">
        <v>62</v>
      </c>
      <c r="B63" s="23" t="s">
        <v>399</v>
      </c>
      <c r="C63" s="23" t="s">
        <v>410</v>
      </c>
      <c r="D63" s="23"/>
      <c r="E63" s="23">
        <v>3</v>
      </c>
      <c r="F63" s="23">
        <v>162</v>
      </c>
      <c r="G63" s="23">
        <v>110</v>
      </c>
      <c r="H63" s="19">
        <f>VLOOKUP(B63,'[1]HSN CODE  TAX RATE'!$A$1:$E$13821,5,0)</f>
        <v>18</v>
      </c>
      <c r="I63" s="19">
        <f>VLOOKUP(B63,'[1]HSN CODE  TAX RATE'!$A$1:$E$13823,2,0)</f>
        <v>84213100</v>
      </c>
    </row>
    <row r="64" spans="1:9" x14ac:dyDescent="0.25">
      <c r="A64" s="19">
        <v>63</v>
      </c>
      <c r="B64" s="23" t="s">
        <v>412</v>
      </c>
      <c r="C64" s="23" t="s">
        <v>413</v>
      </c>
      <c r="D64" s="23"/>
      <c r="E64" s="23">
        <v>0</v>
      </c>
      <c r="F64" s="23">
        <v>195</v>
      </c>
      <c r="G64" s="23" t="s">
        <v>2489</v>
      </c>
      <c r="H64" s="19">
        <f>VLOOKUP(B64,'[1]HSN CODE  TAX RATE'!$A$1:$E$13821,5,0)</f>
        <v>18</v>
      </c>
      <c r="I64" s="19">
        <f>VLOOKUP(B64,'[1]HSN CODE  TAX RATE'!$A$1:$E$13823,2,0)</f>
        <v>84213100</v>
      </c>
    </row>
    <row r="65" spans="1:7" x14ac:dyDescent="0.25">
      <c r="A65" s="19">
        <v>64</v>
      </c>
      <c r="B65" s="23" t="s">
        <v>435</v>
      </c>
      <c r="C65" s="23" t="s">
        <v>513</v>
      </c>
      <c r="D65" s="23"/>
      <c r="E65" s="23">
        <v>1</v>
      </c>
      <c r="F65" s="23" t="s">
        <v>1442</v>
      </c>
      <c r="G65" s="23" t="s">
        <v>1443</v>
      </c>
    </row>
    <row r="66" spans="1:7" x14ac:dyDescent="0.25">
      <c r="A66" s="19">
        <v>65</v>
      </c>
      <c r="B66" s="23" t="s">
        <v>1768</v>
      </c>
      <c r="C66" s="23" t="s">
        <v>1771</v>
      </c>
      <c r="D66" s="23"/>
      <c r="E66" s="23">
        <v>5</v>
      </c>
      <c r="F66" s="23">
        <v>229</v>
      </c>
      <c r="G66" s="23">
        <v>128</v>
      </c>
    </row>
    <row r="67" spans="1:7" x14ac:dyDescent="0.25">
      <c r="A67" s="19">
        <v>66</v>
      </c>
      <c r="B67" s="23" t="s">
        <v>438</v>
      </c>
      <c r="C67" s="23" t="s">
        <v>439</v>
      </c>
      <c r="D67" s="23"/>
      <c r="E67" s="23">
        <v>0</v>
      </c>
      <c r="F67" s="23">
        <v>180</v>
      </c>
      <c r="G67" s="23">
        <v>155</v>
      </c>
    </row>
    <row r="68" spans="1:7" x14ac:dyDescent="0.25">
      <c r="A68" s="19">
        <v>67</v>
      </c>
      <c r="B68" s="23" t="s">
        <v>440</v>
      </c>
      <c r="C68" s="23" t="s">
        <v>829</v>
      </c>
      <c r="D68" s="23"/>
      <c r="E68" s="23">
        <v>1</v>
      </c>
      <c r="F68" s="23">
        <v>197</v>
      </c>
      <c r="G68" s="23">
        <v>143</v>
      </c>
    </row>
    <row r="69" spans="1:7" x14ac:dyDescent="0.25">
      <c r="A69" s="19">
        <v>68</v>
      </c>
      <c r="B69" s="23" t="s">
        <v>441</v>
      </c>
      <c r="C69" s="23" t="s">
        <v>2019</v>
      </c>
      <c r="D69" s="23"/>
      <c r="E69" s="23">
        <v>1</v>
      </c>
      <c r="F69" s="23">
        <v>282</v>
      </c>
      <c r="G69" s="23" t="s">
        <v>1781</v>
      </c>
    </row>
    <row r="70" spans="1:7" x14ac:dyDescent="0.25">
      <c r="A70" s="19">
        <v>69</v>
      </c>
      <c r="B70" s="23" t="s">
        <v>447</v>
      </c>
      <c r="C70" s="23" t="s">
        <v>448</v>
      </c>
      <c r="D70" s="23"/>
      <c r="E70" s="23">
        <v>0</v>
      </c>
      <c r="F70" s="23">
        <v>1232</v>
      </c>
      <c r="G70" s="23">
        <v>855</v>
      </c>
    </row>
    <row r="71" spans="1:7" x14ac:dyDescent="0.25">
      <c r="A71" s="19">
        <v>70</v>
      </c>
      <c r="B71" s="23" t="s">
        <v>456</v>
      </c>
      <c r="C71" s="23" t="s">
        <v>499</v>
      </c>
      <c r="D71" s="23"/>
      <c r="E71" s="23">
        <v>1</v>
      </c>
      <c r="F71" s="23">
        <v>85</v>
      </c>
      <c r="G71" s="23">
        <v>58</v>
      </c>
    </row>
    <row r="72" spans="1:7" x14ac:dyDescent="0.25">
      <c r="A72" s="19">
        <v>71</v>
      </c>
      <c r="B72" s="23" t="s">
        <v>458</v>
      </c>
      <c r="C72" s="23" t="s">
        <v>501</v>
      </c>
      <c r="D72" s="23"/>
      <c r="E72" s="23">
        <v>2</v>
      </c>
      <c r="F72" s="23">
        <v>190</v>
      </c>
      <c r="G72" s="23">
        <v>125</v>
      </c>
    </row>
    <row r="73" spans="1:7" x14ac:dyDescent="0.25">
      <c r="A73" s="19">
        <v>72</v>
      </c>
      <c r="B73" s="23" t="s">
        <v>459</v>
      </c>
      <c r="C73" s="23" t="s">
        <v>502</v>
      </c>
      <c r="D73" s="23"/>
      <c r="E73" s="23">
        <v>0</v>
      </c>
      <c r="F73" s="23">
        <v>274</v>
      </c>
      <c r="G73" s="23">
        <v>190</v>
      </c>
    </row>
    <row r="74" spans="1:7" x14ac:dyDescent="0.25">
      <c r="A74" s="19">
        <v>73</v>
      </c>
      <c r="B74" s="23" t="s">
        <v>460</v>
      </c>
      <c r="C74" s="23" t="s">
        <v>675</v>
      </c>
      <c r="D74" s="23"/>
      <c r="E74" s="23">
        <v>0</v>
      </c>
      <c r="F74" s="23">
        <v>178</v>
      </c>
      <c r="G74" s="23">
        <v>117</v>
      </c>
    </row>
    <row r="75" spans="1:7" x14ac:dyDescent="0.25">
      <c r="A75" s="19">
        <v>74</v>
      </c>
      <c r="B75" s="23" t="s">
        <v>461</v>
      </c>
      <c r="C75" s="23" t="s">
        <v>500</v>
      </c>
      <c r="D75" s="23"/>
      <c r="E75" s="23">
        <v>3</v>
      </c>
      <c r="F75" s="23">
        <v>214</v>
      </c>
      <c r="G75" s="23">
        <v>140</v>
      </c>
    </row>
    <row r="76" spans="1:7" x14ac:dyDescent="0.25">
      <c r="A76" s="19">
        <v>75</v>
      </c>
      <c r="B76" s="23" t="s">
        <v>462</v>
      </c>
      <c r="C76" s="23" t="s">
        <v>503</v>
      </c>
      <c r="D76" s="23"/>
      <c r="E76" s="23">
        <v>1</v>
      </c>
      <c r="F76" s="23">
        <v>260</v>
      </c>
      <c r="G76" s="23">
        <v>180</v>
      </c>
    </row>
    <row r="77" spans="1:7" x14ac:dyDescent="0.25">
      <c r="A77" s="19">
        <v>76</v>
      </c>
      <c r="B77" s="23" t="s">
        <v>463</v>
      </c>
      <c r="C77" s="23" t="s">
        <v>505</v>
      </c>
      <c r="D77" s="23"/>
      <c r="E77" s="23">
        <v>1</v>
      </c>
      <c r="F77" s="23">
        <v>1200</v>
      </c>
      <c r="G77" s="23">
        <v>810</v>
      </c>
    </row>
    <row r="78" spans="1:7" x14ac:dyDescent="0.25">
      <c r="A78" s="19">
        <v>77</v>
      </c>
      <c r="B78" s="23" t="s">
        <v>464</v>
      </c>
      <c r="C78" s="23" t="s">
        <v>504</v>
      </c>
      <c r="D78" s="23"/>
      <c r="E78" s="23">
        <v>1</v>
      </c>
      <c r="F78" s="23">
        <v>229</v>
      </c>
      <c r="G78" s="23">
        <v>154</v>
      </c>
    </row>
    <row r="79" spans="1:7" x14ac:dyDescent="0.25">
      <c r="A79" s="19">
        <v>78</v>
      </c>
      <c r="B79" s="23" t="s">
        <v>475</v>
      </c>
      <c r="C79" s="23" t="s">
        <v>476</v>
      </c>
      <c r="D79" s="23"/>
      <c r="E79" s="23">
        <v>1</v>
      </c>
      <c r="F79" s="23">
        <v>195</v>
      </c>
      <c r="G79" s="23">
        <v>135</v>
      </c>
    </row>
    <row r="80" spans="1:7" x14ac:dyDescent="0.25">
      <c r="A80" s="19">
        <v>79</v>
      </c>
      <c r="B80" s="23" t="s">
        <v>477</v>
      </c>
      <c r="C80" s="23" t="s">
        <v>478</v>
      </c>
      <c r="D80" s="23"/>
      <c r="E80" s="23">
        <v>0</v>
      </c>
      <c r="F80" s="23">
        <v>512</v>
      </c>
      <c r="G80" s="23">
        <v>337</v>
      </c>
    </row>
    <row r="81" spans="1:7" x14ac:dyDescent="0.25">
      <c r="A81" s="19">
        <v>80</v>
      </c>
      <c r="B81" s="23" t="s">
        <v>479</v>
      </c>
      <c r="C81" s="23" t="s">
        <v>480</v>
      </c>
      <c r="D81" s="23"/>
      <c r="F81" s="23">
        <v>135</v>
      </c>
      <c r="G81" s="23">
        <v>95</v>
      </c>
    </row>
    <row r="82" spans="1:7" x14ac:dyDescent="0.25">
      <c r="A82" s="19">
        <v>81</v>
      </c>
      <c r="B82" s="23" t="s">
        <v>481</v>
      </c>
      <c r="C82" s="23" t="s">
        <v>482</v>
      </c>
      <c r="D82" s="23"/>
      <c r="F82" s="23">
        <v>304</v>
      </c>
      <c r="G82" s="23">
        <v>212</v>
      </c>
    </row>
    <row r="83" spans="1:7" x14ac:dyDescent="0.25">
      <c r="A83" s="19">
        <v>82</v>
      </c>
      <c r="B83" s="23" t="s">
        <v>483</v>
      </c>
      <c r="C83" s="23" t="s">
        <v>484</v>
      </c>
      <c r="D83" s="23"/>
      <c r="F83" s="23">
        <v>223</v>
      </c>
      <c r="G83" s="23">
        <v>155</v>
      </c>
    </row>
    <row r="84" spans="1:7" x14ac:dyDescent="0.25">
      <c r="A84" s="19">
        <v>83</v>
      </c>
      <c r="B84" s="23" t="s">
        <v>485</v>
      </c>
      <c r="C84" s="23" t="s">
        <v>486</v>
      </c>
      <c r="D84" s="23"/>
      <c r="F84" s="23">
        <v>418</v>
      </c>
      <c r="G84" s="23">
        <v>290</v>
      </c>
    </row>
    <row r="85" spans="1:7" x14ac:dyDescent="0.25">
      <c r="A85" s="19">
        <v>84</v>
      </c>
      <c r="B85" s="23" t="s">
        <v>487</v>
      </c>
      <c r="C85" s="23" t="s">
        <v>488</v>
      </c>
      <c r="D85" s="23"/>
      <c r="F85" s="23">
        <v>672</v>
      </c>
      <c r="G85" s="23">
        <v>590</v>
      </c>
    </row>
    <row r="86" spans="1:7" x14ac:dyDescent="0.25">
      <c r="A86" s="19">
        <v>85</v>
      </c>
      <c r="B86" s="23" t="s">
        <v>489</v>
      </c>
      <c r="C86" s="23" t="s">
        <v>490</v>
      </c>
      <c r="D86" s="23"/>
      <c r="E86" s="7">
        <v>1</v>
      </c>
      <c r="F86" s="23">
        <v>232</v>
      </c>
      <c r="G86" s="23">
        <v>161</v>
      </c>
    </row>
    <row r="87" spans="1:7" x14ac:dyDescent="0.25">
      <c r="A87" s="19">
        <v>86</v>
      </c>
      <c r="B87" s="23" t="s">
        <v>491</v>
      </c>
      <c r="C87" s="23" t="s">
        <v>492</v>
      </c>
      <c r="D87" s="23"/>
      <c r="F87" s="23">
        <v>225</v>
      </c>
      <c r="G87" s="23">
        <v>155</v>
      </c>
    </row>
    <row r="88" spans="1:7" x14ac:dyDescent="0.25">
      <c r="A88" s="19">
        <v>87</v>
      </c>
      <c r="B88" s="23" t="s">
        <v>493</v>
      </c>
      <c r="C88" s="23" t="s">
        <v>494</v>
      </c>
      <c r="D88" s="23"/>
      <c r="E88" s="7">
        <v>0</v>
      </c>
      <c r="F88" s="23">
        <v>393</v>
      </c>
      <c r="G88" s="23">
        <v>272</v>
      </c>
    </row>
    <row r="89" spans="1:7" x14ac:dyDescent="0.25">
      <c r="A89" s="19">
        <v>88</v>
      </c>
      <c r="B89" s="23" t="s">
        <v>495</v>
      </c>
      <c r="C89" s="23" t="s">
        <v>496</v>
      </c>
      <c r="D89" s="23"/>
      <c r="F89" s="23">
        <v>312</v>
      </c>
      <c r="G89" s="23">
        <v>210</v>
      </c>
    </row>
    <row r="90" spans="1:7" x14ac:dyDescent="0.25">
      <c r="A90" s="19">
        <v>89</v>
      </c>
      <c r="B90" s="23" t="s">
        <v>497</v>
      </c>
      <c r="C90" s="23" t="s">
        <v>827</v>
      </c>
      <c r="D90" s="23"/>
      <c r="E90" s="7">
        <v>1</v>
      </c>
      <c r="F90" s="23">
        <v>210</v>
      </c>
      <c r="G90" s="23">
        <v>138</v>
      </c>
    </row>
    <row r="91" spans="1:7" x14ac:dyDescent="0.25">
      <c r="A91" s="19">
        <v>90</v>
      </c>
      <c r="B91" s="23" t="s">
        <v>552</v>
      </c>
      <c r="C91" s="23" t="s">
        <v>553</v>
      </c>
      <c r="D91" s="23"/>
      <c r="E91" s="7">
        <v>3</v>
      </c>
      <c r="F91" s="23">
        <v>533</v>
      </c>
      <c r="G91" s="23">
        <v>415</v>
      </c>
    </row>
    <row r="92" spans="1:7" x14ac:dyDescent="0.25">
      <c r="A92" s="19">
        <v>91</v>
      </c>
      <c r="B92" s="23" t="s">
        <v>694</v>
      </c>
      <c r="C92" s="23" t="s">
        <v>695</v>
      </c>
      <c r="D92" s="23"/>
      <c r="E92" s="7">
        <v>1</v>
      </c>
      <c r="F92" s="23">
        <v>179</v>
      </c>
      <c r="G92" s="23">
        <v>136</v>
      </c>
    </row>
    <row r="93" spans="1:7" x14ac:dyDescent="0.25">
      <c r="A93" s="19">
        <v>92</v>
      </c>
      <c r="B93" s="23" t="s">
        <v>706</v>
      </c>
      <c r="C93" s="23" t="s">
        <v>3754</v>
      </c>
      <c r="D93" s="23"/>
      <c r="E93" s="7">
        <v>8</v>
      </c>
      <c r="F93" s="23">
        <v>771</v>
      </c>
      <c r="G93" s="23">
        <v>524</v>
      </c>
    </row>
    <row r="94" spans="1:7" x14ac:dyDescent="0.25">
      <c r="A94" s="19">
        <v>93</v>
      </c>
      <c r="B94" s="7">
        <v>28419854</v>
      </c>
      <c r="C94" s="23" t="s">
        <v>1220</v>
      </c>
      <c r="D94" s="23"/>
      <c r="E94" s="7">
        <v>13</v>
      </c>
      <c r="F94" s="23">
        <v>2462</v>
      </c>
      <c r="G94" s="23">
        <v>1663</v>
      </c>
    </row>
    <row r="95" spans="1:7" x14ac:dyDescent="0.25">
      <c r="A95" s="19">
        <v>94</v>
      </c>
      <c r="B95" s="23" t="s">
        <v>707</v>
      </c>
      <c r="C95" s="23" t="s">
        <v>708</v>
      </c>
      <c r="D95" s="23"/>
      <c r="E95" s="7">
        <v>7</v>
      </c>
      <c r="F95" s="23">
        <v>598</v>
      </c>
      <c r="G95" s="23">
        <v>414</v>
      </c>
    </row>
    <row r="96" spans="1:7" x14ac:dyDescent="0.25">
      <c r="A96" s="19">
        <v>95</v>
      </c>
      <c r="B96" s="23" t="s">
        <v>709</v>
      </c>
      <c r="C96" s="23" t="s">
        <v>710</v>
      </c>
      <c r="D96" s="23"/>
      <c r="E96" s="7">
        <v>10</v>
      </c>
      <c r="F96" s="23">
        <v>755</v>
      </c>
      <c r="G96" s="23">
        <v>520</v>
      </c>
    </row>
    <row r="97" spans="1:12" x14ac:dyDescent="0.25">
      <c r="A97" s="19">
        <v>96</v>
      </c>
      <c r="B97" s="23" t="s">
        <v>715</v>
      </c>
      <c r="C97" s="23" t="s">
        <v>716</v>
      </c>
      <c r="D97" s="23"/>
      <c r="E97" s="7">
        <v>12</v>
      </c>
      <c r="F97" s="23">
        <v>240</v>
      </c>
      <c r="G97" s="23">
        <v>198</v>
      </c>
      <c r="L97" s="7">
        <f>SUM(L94:M94)</f>
        <v>0</v>
      </c>
    </row>
    <row r="98" spans="1:12" x14ac:dyDescent="0.25">
      <c r="A98" s="19">
        <v>97</v>
      </c>
      <c r="B98" s="7">
        <v>28419856</v>
      </c>
      <c r="C98" s="23" t="s">
        <v>1219</v>
      </c>
      <c r="D98" s="23"/>
      <c r="E98" s="7">
        <v>11</v>
      </c>
      <c r="F98" s="23">
        <v>2035</v>
      </c>
      <c r="G98" s="23">
        <v>1421</v>
      </c>
    </row>
    <row r="99" spans="1:12" x14ac:dyDescent="0.25">
      <c r="A99" s="19">
        <v>98</v>
      </c>
      <c r="B99" s="23" t="s">
        <v>743</v>
      </c>
      <c r="C99" s="23" t="s">
        <v>744</v>
      </c>
      <c r="D99" s="23"/>
      <c r="E99" s="7">
        <v>2</v>
      </c>
      <c r="F99" s="23">
        <v>194</v>
      </c>
      <c r="G99" s="23">
        <v>127</v>
      </c>
    </row>
    <row r="100" spans="1:12" x14ac:dyDescent="0.25">
      <c r="A100" s="19">
        <v>99</v>
      </c>
      <c r="B100" s="23" t="s">
        <v>745</v>
      </c>
      <c r="C100" s="23" t="s">
        <v>746</v>
      </c>
      <c r="D100" s="23"/>
      <c r="E100" s="7">
        <v>6</v>
      </c>
      <c r="F100" s="23">
        <v>171</v>
      </c>
      <c r="G100" s="23">
        <v>113</v>
      </c>
    </row>
    <row r="101" spans="1:12" x14ac:dyDescent="0.25">
      <c r="A101" s="19">
        <v>100</v>
      </c>
      <c r="B101" s="23" t="s">
        <v>747</v>
      </c>
      <c r="C101" s="23" t="s">
        <v>748</v>
      </c>
      <c r="D101" s="23"/>
      <c r="E101" s="7">
        <v>2</v>
      </c>
      <c r="F101" s="23">
        <v>293</v>
      </c>
      <c r="G101" s="23">
        <v>193</v>
      </c>
    </row>
    <row r="102" spans="1:12" x14ac:dyDescent="0.25">
      <c r="A102" s="19">
        <v>101</v>
      </c>
      <c r="B102" s="23" t="s">
        <v>750</v>
      </c>
      <c r="C102" s="23" t="s">
        <v>751</v>
      </c>
      <c r="D102" s="23"/>
      <c r="E102" s="7">
        <v>4</v>
      </c>
      <c r="F102" s="23">
        <v>318</v>
      </c>
      <c r="G102" s="23">
        <v>209</v>
      </c>
    </row>
    <row r="103" spans="1:12" x14ac:dyDescent="0.25">
      <c r="A103" s="19">
        <v>102</v>
      </c>
      <c r="B103" s="23" t="s">
        <v>761</v>
      </c>
      <c r="C103" s="23" t="s">
        <v>762</v>
      </c>
      <c r="D103" s="23"/>
      <c r="E103" s="7">
        <v>2</v>
      </c>
      <c r="F103" s="23">
        <v>109</v>
      </c>
      <c r="G103" s="23">
        <v>71</v>
      </c>
    </row>
    <row r="104" spans="1:12" x14ac:dyDescent="0.25">
      <c r="A104" s="19">
        <v>103</v>
      </c>
      <c r="B104" s="23" t="s">
        <v>1348</v>
      </c>
      <c r="C104" s="23" t="s">
        <v>1349</v>
      </c>
      <c r="D104" s="23"/>
      <c r="E104" s="7">
        <v>11</v>
      </c>
      <c r="F104" s="23">
        <v>1260</v>
      </c>
      <c r="G104" s="23">
        <v>865</v>
      </c>
    </row>
    <row r="105" spans="1:12" x14ac:dyDescent="0.25">
      <c r="A105" s="19">
        <v>104</v>
      </c>
      <c r="B105" s="23" t="s">
        <v>1350</v>
      </c>
      <c r="C105" s="23" t="s">
        <v>1351</v>
      </c>
      <c r="D105" s="23"/>
      <c r="E105" s="7">
        <v>16</v>
      </c>
      <c r="F105" s="23">
        <v>1045</v>
      </c>
      <c r="G105" s="23">
        <v>715</v>
      </c>
    </row>
    <row r="106" spans="1:12" x14ac:dyDescent="0.25">
      <c r="A106" s="19">
        <v>105</v>
      </c>
      <c r="B106" s="23" t="s">
        <v>1392</v>
      </c>
      <c r="C106" s="23" t="s">
        <v>1393</v>
      </c>
      <c r="D106" s="23"/>
      <c r="E106" s="7">
        <v>4</v>
      </c>
      <c r="F106" s="23">
        <v>582</v>
      </c>
      <c r="G106" s="23">
        <v>390</v>
      </c>
    </row>
    <row r="107" spans="1:12" x14ac:dyDescent="0.25">
      <c r="A107" s="19">
        <v>106</v>
      </c>
      <c r="B107" s="7">
        <v>28391150</v>
      </c>
      <c r="C107" s="7" t="s">
        <v>2493</v>
      </c>
      <c r="E107" s="7">
        <v>7</v>
      </c>
      <c r="F107" s="19" t="s">
        <v>4254</v>
      </c>
      <c r="G107" s="73" t="s">
        <v>4255</v>
      </c>
    </row>
    <row r="108" spans="1:12" x14ac:dyDescent="0.25">
      <c r="A108" s="19">
        <v>107</v>
      </c>
      <c r="B108" s="7" t="s">
        <v>3163</v>
      </c>
      <c r="C108" s="7" t="s">
        <v>3164</v>
      </c>
      <c r="E108" s="7">
        <v>8</v>
      </c>
      <c r="F108" s="7">
        <v>259</v>
      </c>
      <c r="G108" s="7">
        <v>174</v>
      </c>
    </row>
    <row r="109" spans="1:12" x14ac:dyDescent="0.25">
      <c r="A109" s="19">
        <v>108</v>
      </c>
      <c r="B109" s="7" t="s">
        <v>3190</v>
      </c>
      <c r="C109" s="7" t="s">
        <v>3720</v>
      </c>
      <c r="E109" s="7">
        <v>4</v>
      </c>
      <c r="F109" s="7">
        <v>811</v>
      </c>
    </row>
    <row r="110" spans="1:12" x14ac:dyDescent="0.25">
      <c r="A110" s="19">
        <v>109</v>
      </c>
      <c r="B110" s="7" t="s">
        <v>3266</v>
      </c>
      <c r="E110" s="7">
        <v>0</v>
      </c>
      <c r="F110" s="7">
        <v>331</v>
      </c>
      <c r="G110" s="7">
        <v>225</v>
      </c>
    </row>
    <row r="111" spans="1:12" x14ac:dyDescent="0.25">
      <c r="A111" s="19">
        <v>110</v>
      </c>
      <c r="B111" s="7" t="s">
        <v>3357</v>
      </c>
      <c r="E111" s="7">
        <v>7</v>
      </c>
      <c r="F111" s="7">
        <v>271</v>
      </c>
      <c r="G111" s="7">
        <v>185</v>
      </c>
    </row>
    <row r="112" spans="1:12" x14ac:dyDescent="0.25">
      <c r="A112" s="19">
        <v>111</v>
      </c>
      <c r="B112" s="7" t="s">
        <v>3379</v>
      </c>
      <c r="E112" s="7">
        <v>2</v>
      </c>
      <c r="F112" s="7">
        <v>2162</v>
      </c>
    </row>
  </sheetData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4"/>
  <sheetViews>
    <sheetView workbookViewId="0">
      <selection activeCell="H19" sqref="H19"/>
    </sheetView>
  </sheetViews>
  <sheetFormatPr defaultRowHeight="15" x14ac:dyDescent="0.2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 x14ac:dyDescent="0.25">
      <c r="A2" s="7">
        <v>1</v>
      </c>
      <c r="B2" s="8" t="s">
        <v>360</v>
      </c>
      <c r="C2" s="7" t="s">
        <v>63</v>
      </c>
      <c r="D2" s="8">
        <v>0</v>
      </c>
      <c r="E2" s="7">
        <v>135</v>
      </c>
      <c r="F2" s="7">
        <v>80</v>
      </c>
      <c r="G2" s="19">
        <f>VLOOKUP(B2,'[1]HSN CODE  TAX RATE'!$A$1:$E$13821,5,0)</f>
        <v>18</v>
      </c>
      <c r="H2" s="19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 x14ac:dyDescent="0.25">
      <c r="A3" s="7">
        <v>2</v>
      </c>
      <c r="B3" s="7" t="s">
        <v>361</v>
      </c>
      <c r="C3" s="7" t="s">
        <v>64</v>
      </c>
      <c r="D3" s="8">
        <v>2</v>
      </c>
      <c r="E3" s="7">
        <v>140</v>
      </c>
      <c r="F3" s="7">
        <v>84</v>
      </c>
      <c r="G3" s="19">
        <f>VLOOKUP(B3,'[1]HSN CODE  TAX RATE'!$A$1:$E$13821,5,0)</f>
        <v>18</v>
      </c>
      <c r="H3" s="19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 x14ac:dyDescent="0.25">
      <c r="A4" s="7"/>
      <c r="B4" s="7" t="s">
        <v>450</v>
      </c>
      <c r="C4" s="7" t="s">
        <v>451</v>
      </c>
      <c r="D4" s="8">
        <v>3</v>
      </c>
      <c r="E4" s="7">
        <v>145</v>
      </c>
      <c r="F4" s="7">
        <v>86</v>
      </c>
      <c r="G4" s="19">
        <v>18</v>
      </c>
      <c r="H4" s="19"/>
      <c r="I4" s="3">
        <f t="shared" si="0"/>
        <v>2.58</v>
      </c>
      <c r="J4" s="7">
        <f t="shared" si="1"/>
        <v>83.42</v>
      </c>
    </row>
    <row r="5" spans="1:12" x14ac:dyDescent="0.25">
      <c r="A5" s="7"/>
      <c r="B5" s="7" t="s">
        <v>362</v>
      </c>
      <c r="C5" s="7" t="s">
        <v>65</v>
      </c>
      <c r="D5" s="8">
        <v>0</v>
      </c>
      <c r="E5" s="7">
        <v>150</v>
      </c>
      <c r="F5" s="7">
        <v>89</v>
      </c>
      <c r="G5" s="19">
        <f>VLOOKUP(B5,'[1]HSN CODE  TAX RATE'!$A$1:$E$13821,5,0)</f>
        <v>18</v>
      </c>
      <c r="H5" s="19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 x14ac:dyDescent="0.25">
      <c r="A6" s="7"/>
      <c r="B6" s="7" t="s">
        <v>363</v>
      </c>
      <c r="C6" s="7" t="s">
        <v>66</v>
      </c>
      <c r="D6" s="8">
        <v>0</v>
      </c>
      <c r="E6" s="7">
        <v>155</v>
      </c>
      <c r="F6" s="7">
        <v>93</v>
      </c>
      <c r="G6" s="19">
        <f>VLOOKUP(B6,'[1]HSN CODE  TAX RATE'!$A$1:$E$13821,5,0)</f>
        <v>18</v>
      </c>
      <c r="H6" s="19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 x14ac:dyDescent="0.25">
      <c r="A7" s="7"/>
      <c r="B7" s="7" t="s">
        <v>364</v>
      </c>
      <c r="C7" s="7" t="s">
        <v>67</v>
      </c>
      <c r="D7" s="8">
        <v>0</v>
      </c>
      <c r="E7" s="7">
        <v>160</v>
      </c>
      <c r="F7" s="7">
        <v>96</v>
      </c>
      <c r="G7" s="19">
        <f>VLOOKUP(B7,'[1]HSN CODE  TAX RATE'!$A$1:$E$13821,5,0)</f>
        <v>18</v>
      </c>
      <c r="H7" s="19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 x14ac:dyDescent="0.25">
      <c r="A8" s="7"/>
      <c r="B8" s="7" t="s">
        <v>365</v>
      </c>
      <c r="C8" s="7" t="s">
        <v>68</v>
      </c>
      <c r="D8" s="8">
        <v>6</v>
      </c>
      <c r="E8" s="7">
        <v>165</v>
      </c>
      <c r="F8" s="7">
        <v>98</v>
      </c>
      <c r="G8" s="19">
        <f>VLOOKUP(B8,'[1]HSN CODE  TAX RATE'!$A$1:$E$13821,5,0)</f>
        <v>18</v>
      </c>
      <c r="H8" s="19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 x14ac:dyDescent="0.25">
      <c r="A9" s="7"/>
      <c r="B9" s="7" t="s">
        <v>366</v>
      </c>
      <c r="C9" s="7" t="s">
        <v>69</v>
      </c>
      <c r="D9" s="8">
        <v>7</v>
      </c>
      <c r="E9" s="7">
        <v>170</v>
      </c>
      <c r="F9" s="7">
        <v>101</v>
      </c>
      <c r="G9" s="19">
        <f>VLOOKUP(B9,'[1]HSN CODE  TAX RATE'!$A$1:$E$13821,5,0)</f>
        <v>18</v>
      </c>
      <c r="H9" s="19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 x14ac:dyDescent="0.25">
      <c r="A10" s="7"/>
      <c r="B10" s="7" t="s">
        <v>367</v>
      </c>
      <c r="C10" s="7" t="s">
        <v>70</v>
      </c>
      <c r="D10" s="8">
        <v>0</v>
      </c>
      <c r="E10" s="7">
        <v>180</v>
      </c>
      <c r="F10" s="7">
        <v>107</v>
      </c>
      <c r="G10" s="19">
        <f>VLOOKUP(B10,'[1]HSN CODE  TAX RATE'!$A$1:$E$13821,5,0)</f>
        <v>18</v>
      </c>
      <c r="H10" s="19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 x14ac:dyDescent="0.25">
      <c r="A11" s="7"/>
      <c r="B11" s="7" t="s">
        <v>368</v>
      </c>
      <c r="C11" s="7" t="s">
        <v>71</v>
      </c>
      <c r="D11" s="8">
        <v>1</v>
      </c>
      <c r="E11" s="7">
        <v>190</v>
      </c>
      <c r="F11" s="7">
        <v>113</v>
      </c>
      <c r="G11" s="19">
        <f>VLOOKUP(B11,'[1]HSN CODE  TAX RATE'!$A$1:$E$13821,5,0)</f>
        <v>18</v>
      </c>
      <c r="H11" s="19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 x14ac:dyDescent="0.25">
      <c r="A12" s="7"/>
      <c r="B12" s="12" t="s">
        <v>369</v>
      </c>
      <c r="C12" s="12" t="s">
        <v>72</v>
      </c>
      <c r="D12" s="32">
        <v>0</v>
      </c>
      <c r="E12" s="12">
        <v>200</v>
      </c>
      <c r="F12" s="12">
        <v>119</v>
      </c>
      <c r="G12" s="33">
        <f>VLOOKUP(B12,'[1]HSN CODE  TAX RATE'!$A$1:$E$13821,5,0)</f>
        <v>18</v>
      </c>
      <c r="H12" s="33">
        <f>VLOOKUP(B12,'[1]HSN CODE  TAX RATE'!$A$1:$E$13823,2,0)</f>
        <v>85124000</v>
      </c>
      <c r="I12" s="3">
        <f t="shared" si="0"/>
        <v>3.57</v>
      </c>
      <c r="J12" s="12">
        <f t="shared" si="1"/>
        <v>115.43</v>
      </c>
      <c r="L12" s="3"/>
    </row>
    <row r="13" spans="1:12" x14ac:dyDescent="0.25">
      <c r="A13" s="31"/>
      <c r="B13" s="7" t="s">
        <v>370</v>
      </c>
      <c r="C13" s="7" t="s">
        <v>73</v>
      </c>
      <c r="D13" s="8">
        <v>1</v>
      </c>
      <c r="E13" s="7">
        <v>215</v>
      </c>
      <c r="F13" s="7">
        <v>128</v>
      </c>
      <c r="G13" s="19">
        <f>VLOOKUP(B13,'[1]HSN CODE  TAX RATE'!$A$1:$E$13821,5,0)</f>
        <v>18</v>
      </c>
      <c r="H13" s="19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 x14ac:dyDescent="0.25">
      <c r="B14" s="7"/>
      <c r="C14" s="14" t="s">
        <v>457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8"/>
  <sheetViews>
    <sheetView workbookViewId="0">
      <selection activeCell="F17" sqref="F17"/>
    </sheetView>
  </sheetViews>
  <sheetFormatPr defaultColWidth="9.140625" defaultRowHeight="15" x14ac:dyDescent="0.2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 x14ac:dyDescent="0.25">
      <c r="A2" s="7">
        <v>1</v>
      </c>
      <c r="B2" s="7" t="s">
        <v>155</v>
      </c>
      <c r="C2" s="7" t="s">
        <v>180</v>
      </c>
      <c r="D2" s="7">
        <v>0</v>
      </c>
      <c r="E2" s="7">
        <v>1130</v>
      </c>
      <c r="F2" s="7">
        <v>826</v>
      </c>
      <c r="G2" s="7">
        <v>28</v>
      </c>
    </row>
    <row r="3" spans="1:8" x14ac:dyDescent="0.25">
      <c r="A3" s="7">
        <v>2</v>
      </c>
      <c r="B3" s="7" t="s">
        <v>156</v>
      </c>
      <c r="C3" s="7" t="s">
        <v>181</v>
      </c>
      <c r="D3" s="7">
        <v>0</v>
      </c>
      <c r="E3" s="7">
        <v>1045</v>
      </c>
      <c r="F3" s="7">
        <v>784</v>
      </c>
    </row>
    <row r="4" spans="1:8" x14ac:dyDescent="0.25">
      <c r="A4" s="7">
        <v>3</v>
      </c>
      <c r="B4" s="7" t="s">
        <v>182</v>
      </c>
      <c r="C4" s="7" t="s">
        <v>1185</v>
      </c>
      <c r="D4" s="7">
        <v>0</v>
      </c>
      <c r="E4" s="7" t="s">
        <v>1242</v>
      </c>
      <c r="F4" s="7">
        <v>863</v>
      </c>
      <c r="H4" s="7">
        <v>822</v>
      </c>
    </row>
    <row r="5" spans="1:8" x14ac:dyDescent="0.25">
      <c r="A5" s="7">
        <v>4</v>
      </c>
      <c r="B5" s="8" t="s">
        <v>590</v>
      </c>
      <c r="C5" s="27" t="s">
        <v>206</v>
      </c>
      <c r="D5" s="7">
        <v>0</v>
      </c>
      <c r="E5" s="7">
        <v>170</v>
      </c>
      <c r="F5" s="7">
        <v>112</v>
      </c>
      <c r="H5" s="7">
        <v>85</v>
      </c>
    </row>
    <row r="6" spans="1:8" x14ac:dyDescent="0.25">
      <c r="A6" s="7">
        <v>5</v>
      </c>
      <c r="B6" s="7" t="s">
        <v>517</v>
      </c>
      <c r="C6" s="7" t="s">
        <v>768</v>
      </c>
      <c r="D6" s="7">
        <v>4</v>
      </c>
      <c r="E6" s="7">
        <v>1045</v>
      </c>
      <c r="F6" s="7">
        <v>760</v>
      </c>
    </row>
    <row r="11" spans="1:8" x14ac:dyDescent="0.25">
      <c r="H11" s="7" t="s">
        <v>446</v>
      </c>
    </row>
    <row r="16" spans="1:8" x14ac:dyDescent="0.25">
      <c r="B16" s="7" t="s">
        <v>580</v>
      </c>
    </row>
    <row r="17" spans="1:2" x14ac:dyDescent="0.25">
      <c r="A17" s="7">
        <v>4</v>
      </c>
      <c r="B17" s="7" t="s">
        <v>578</v>
      </c>
    </row>
    <row r="18" spans="1:2" x14ac:dyDescent="0.25">
      <c r="A18" s="7">
        <v>1</v>
      </c>
      <c r="B18" s="7" t="s">
        <v>579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 x14ac:dyDescent="0.2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 x14ac:dyDescent="0.25">
      <c r="A2" s="51">
        <v>1</v>
      </c>
      <c r="B2" s="8" t="s">
        <v>525</v>
      </c>
      <c r="C2" s="52" t="s">
        <v>526</v>
      </c>
      <c r="D2" s="7">
        <v>3</v>
      </c>
      <c r="E2" s="25">
        <v>390</v>
      </c>
      <c r="F2" s="25">
        <v>315</v>
      </c>
    </row>
    <row r="3" spans="1:6" x14ac:dyDescent="0.25">
      <c r="A3" s="51">
        <v>2</v>
      </c>
      <c r="B3" s="8" t="s">
        <v>520</v>
      </c>
      <c r="C3" s="13" t="s">
        <v>521</v>
      </c>
      <c r="D3" s="14">
        <v>0</v>
      </c>
      <c r="E3" s="25">
        <v>195</v>
      </c>
      <c r="F3" s="25">
        <v>157</v>
      </c>
    </row>
    <row r="4" spans="1:6" x14ac:dyDescent="0.25">
      <c r="A4" s="51">
        <v>3</v>
      </c>
      <c r="B4" s="8" t="s">
        <v>522</v>
      </c>
      <c r="C4" s="13" t="s">
        <v>523</v>
      </c>
      <c r="D4" s="14">
        <v>0</v>
      </c>
      <c r="E4" s="25">
        <v>234</v>
      </c>
      <c r="F4" s="25">
        <v>190</v>
      </c>
    </row>
    <row r="5" spans="1:6" x14ac:dyDescent="0.25">
      <c r="A5" s="51">
        <v>4</v>
      </c>
      <c r="B5" s="13" t="s">
        <v>558</v>
      </c>
      <c r="C5" s="7" t="s">
        <v>559</v>
      </c>
      <c r="D5" s="14">
        <v>0</v>
      </c>
      <c r="E5" s="25">
        <v>234</v>
      </c>
      <c r="F5" s="25">
        <v>186</v>
      </c>
    </row>
    <row r="6" spans="1:6" x14ac:dyDescent="0.25">
      <c r="A6" s="51">
        <v>5</v>
      </c>
      <c r="B6" s="13" t="s">
        <v>560</v>
      </c>
      <c r="C6" s="53" t="s">
        <v>559</v>
      </c>
      <c r="D6" s="14">
        <v>0</v>
      </c>
      <c r="E6" s="25">
        <v>136</v>
      </c>
      <c r="F6" s="25">
        <v>108</v>
      </c>
    </row>
    <row r="7" spans="1:6" x14ac:dyDescent="0.25">
      <c r="A7" s="51">
        <v>6</v>
      </c>
      <c r="B7" s="13" t="s">
        <v>561</v>
      </c>
      <c r="C7" s="7" t="s">
        <v>559</v>
      </c>
      <c r="D7" s="14">
        <v>0</v>
      </c>
      <c r="E7" s="25">
        <v>111</v>
      </c>
      <c r="F7" s="25">
        <v>88</v>
      </c>
    </row>
    <row r="9" spans="1:6" x14ac:dyDescent="0.25">
      <c r="B9" s="50"/>
    </row>
    <row r="10" spans="1:6" x14ac:dyDescent="0.25">
      <c r="C10" s="54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 x14ac:dyDescent="0.25">
      <c r="A1" s="91" t="s">
        <v>592</v>
      </c>
      <c r="B1" s="91" t="s">
        <v>449</v>
      </c>
      <c r="C1" s="91" t="s">
        <v>4654</v>
      </c>
      <c r="D1" s="91" t="s">
        <v>593</v>
      </c>
      <c r="E1" s="92" t="s">
        <v>594</v>
      </c>
      <c r="F1" s="91" t="s">
        <v>595</v>
      </c>
    </row>
    <row r="2" spans="1:8" x14ac:dyDescent="0.25">
      <c r="A2" s="7">
        <v>1</v>
      </c>
      <c r="B2" s="7" t="s">
        <v>725</v>
      </c>
      <c r="C2" s="7" t="s">
        <v>726</v>
      </c>
      <c r="E2" s="7">
        <v>0</v>
      </c>
      <c r="F2" s="7">
        <v>7800</v>
      </c>
    </row>
    <row r="3" spans="1:8" x14ac:dyDescent="0.25">
      <c r="A3" s="7">
        <v>2</v>
      </c>
      <c r="B3" s="7" t="s">
        <v>736</v>
      </c>
      <c r="C3" s="7" t="s">
        <v>727</v>
      </c>
      <c r="E3" s="7">
        <v>0</v>
      </c>
      <c r="F3" s="7">
        <v>7800</v>
      </c>
    </row>
    <row r="4" spans="1:8" x14ac:dyDescent="0.25">
      <c r="A4" s="7">
        <v>3</v>
      </c>
      <c r="B4" s="7" t="s">
        <v>735</v>
      </c>
      <c r="C4" s="7" t="s">
        <v>728</v>
      </c>
      <c r="E4" s="7">
        <v>0</v>
      </c>
      <c r="F4" s="7">
        <v>8400</v>
      </c>
      <c r="G4" s="7" t="s">
        <v>739</v>
      </c>
      <c r="H4" s="7">
        <v>5885</v>
      </c>
    </row>
    <row r="5" spans="1:8" x14ac:dyDescent="0.25">
      <c r="A5" s="7">
        <v>4</v>
      </c>
      <c r="B5" s="7" t="s">
        <v>729</v>
      </c>
      <c r="C5" s="7" t="s">
        <v>1837</v>
      </c>
      <c r="E5" s="7">
        <v>1</v>
      </c>
      <c r="F5" s="7">
        <v>7800</v>
      </c>
    </row>
    <row r="6" spans="1:8" x14ac:dyDescent="0.25">
      <c r="A6" s="7">
        <v>5</v>
      </c>
      <c r="B6" s="7" t="s">
        <v>730</v>
      </c>
      <c r="C6" s="7" t="s">
        <v>731</v>
      </c>
      <c r="E6" s="7">
        <v>2</v>
      </c>
      <c r="F6" s="7">
        <v>5128</v>
      </c>
      <c r="G6" s="7" t="s">
        <v>740</v>
      </c>
    </row>
    <row r="7" spans="1:8" x14ac:dyDescent="0.25">
      <c r="A7" s="7">
        <v>6</v>
      </c>
      <c r="B7" s="7" t="s">
        <v>732</v>
      </c>
      <c r="C7" s="7" t="s">
        <v>726</v>
      </c>
      <c r="E7" s="7">
        <v>0</v>
      </c>
      <c r="F7" s="7">
        <v>7800</v>
      </c>
    </row>
    <row r="8" spans="1:8" x14ac:dyDescent="0.25">
      <c r="A8" s="7">
        <v>7</v>
      </c>
      <c r="B8" s="7" t="s">
        <v>755</v>
      </c>
      <c r="C8" s="7" t="s">
        <v>756</v>
      </c>
      <c r="E8" s="7">
        <v>0</v>
      </c>
      <c r="F8" s="7">
        <v>6100</v>
      </c>
    </row>
    <row r="9" spans="1:8" x14ac:dyDescent="0.25">
      <c r="A9" s="7">
        <v>8</v>
      </c>
      <c r="B9" s="7" t="s">
        <v>757</v>
      </c>
      <c r="C9" s="7" t="s">
        <v>758</v>
      </c>
      <c r="E9" s="7">
        <v>0</v>
      </c>
      <c r="F9" s="7">
        <v>8250</v>
      </c>
    </row>
    <row r="10" spans="1:8" x14ac:dyDescent="0.25">
      <c r="A10" s="7">
        <v>9</v>
      </c>
      <c r="B10" s="7" t="s">
        <v>759</v>
      </c>
      <c r="C10" s="7" t="s">
        <v>760</v>
      </c>
      <c r="E10" s="7">
        <v>0</v>
      </c>
      <c r="F10" s="7">
        <v>7200</v>
      </c>
    </row>
    <row r="11" spans="1:8" x14ac:dyDescent="0.25">
      <c r="A11" s="7">
        <v>10</v>
      </c>
      <c r="B11" s="7" t="s">
        <v>733</v>
      </c>
      <c r="C11" s="7" t="s">
        <v>794</v>
      </c>
      <c r="E11" s="7">
        <v>0</v>
      </c>
      <c r="F11" s="7" t="s">
        <v>2865</v>
      </c>
    </row>
    <row r="12" spans="1:8" x14ac:dyDescent="0.25">
      <c r="A12" s="7">
        <v>11</v>
      </c>
      <c r="B12" s="7" t="s">
        <v>734</v>
      </c>
      <c r="C12" s="7" t="s">
        <v>793</v>
      </c>
      <c r="E12" s="7">
        <v>0</v>
      </c>
      <c r="F12" s="7">
        <v>4200</v>
      </c>
    </row>
    <row r="13" spans="1:8" x14ac:dyDescent="0.25">
      <c r="A13" s="7">
        <v>12</v>
      </c>
      <c r="B13" s="7" t="s">
        <v>737</v>
      </c>
      <c r="C13" s="7" t="s">
        <v>738</v>
      </c>
      <c r="E13" s="7">
        <v>0</v>
      </c>
      <c r="F13" s="7">
        <v>4200</v>
      </c>
    </row>
    <row r="14" spans="1:8" x14ac:dyDescent="0.25">
      <c r="A14" s="7">
        <v>13</v>
      </c>
      <c r="B14" s="7" t="s">
        <v>1282</v>
      </c>
      <c r="C14" s="7" t="s">
        <v>3816</v>
      </c>
      <c r="E14" s="7">
        <v>1</v>
      </c>
      <c r="F14" s="7">
        <v>7800</v>
      </c>
    </row>
    <row r="15" spans="1:8" x14ac:dyDescent="0.25">
      <c r="A15" s="7">
        <v>14</v>
      </c>
      <c r="B15" s="7" t="s">
        <v>1433</v>
      </c>
      <c r="C15" s="7" t="s">
        <v>1434</v>
      </c>
      <c r="E15" s="7">
        <v>0</v>
      </c>
      <c r="F15" s="7">
        <v>6400</v>
      </c>
    </row>
    <row r="16" spans="1:8" x14ac:dyDescent="0.25">
      <c r="A16" s="7">
        <v>15</v>
      </c>
      <c r="B16" s="7" t="s">
        <v>1435</v>
      </c>
      <c r="C16" s="7" t="s">
        <v>1436</v>
      </c>
      <c r="E16" s="7">
        <v>0</v>
      </c>
      <c r="F16" s="7">
        <v>7800</v>
      </c>
    </row>
    <row r="17" spans="1:6" x14ac:dyDescent="0.25">
      <c r="A17" s="7">
        <v>16</v>
      </c>
      <c r="B17" s="7" t="s">
        <v>1586</v>
      </c>
      <c r="C17" s="7" t="s">
        <v>1587</v>
      </c>
      <c r="E17" s="7">
        <v>0</v>
      </c>
      <c r="F17" s="7">
        <v>7000</v>
      </c>
    </row>
    <row r="18" spans="1:6" x14ac:dyDescent="0.25">
      <c r="B18" s="7" t="s">
        <v>2506</v>
      </c>
      <c r="C18" s="7" t="s">
        <v>2507</v>
      </c>
      <c r="E18" s="7">
        <v>0</v>
      </c>
      <c r="F18" s="7">
        <v>7000</v>
      </c>
    </row>
    <row r="19" spans="1:6" x14ac:dyDescent="0.25">
      <c r="B19" s="7" t="s">
        <v>3012</v>
      </c>
      <c r="C19" s="7" t="s">
        <v>3013</v>
      </c>
      <c r="E19" s="7">
        <v>0</v>
      </c>
      <c r="F19" s="7">
        <v>7200</v>
      </c>
    </row>
    <row r="20" spans="1:6" x14ac:dyDescent="0.25">
      <c r="B20" s="7" t="s">
        <v>3155</v>
      </c>
      <c r="C20" s="7" t="s">
        <v>2082</v>
      </c>
      <c r="E20" s="7">
        <v>0</v>
      </c>
      <c r="F20" s="7">
        <v>7200</v>
      </c>
    </row>
    <row r="21" spans="1:6" x14ac:dyDescent="0.25">
      <c r="B21" s="7">
        <v>1002</v>
      </c>
    </row>
    <row r="22" spans="1:6" x14ac:dyDescent="0.25">
      <c r="B22" s="105" t="s">
        <v>769</v>
      </c>
      <c r="C22" s="105"/>
      <c r="D22" s="104"/>
    </row>
    <row r="23" spans="1:6" x14ac:dyDescent="0.25">
      <c r="A23" s="7" t="s">
        <v>592</v>
      </c>
      <c r="B23" s="7" t="s">
        <v>449</v>
      </c>
      <c r="C23" s="7" t="s">
        <v>593</v>
      </c>
      <c r="E23" s="14" t="s">
        <v>594</v>
      </c>
      <c r="F23" s="14" t="s">
        <v>595</v>
      </c>
    </row>
    <row r="24" spans="1:6" x14ac:dyDescent="0.25">
      <c r="B24" s="7" t="s">
        <v>770</v>
      </c>
      <c r="C24" s="7" t="s">
        <v>771</v>
      </c>
      <c r="E24" s="7">
        <v>1</v>
      </c>
      <c r="F24" s="7">
        <v>129</v>
      </c>
    </row>
    <row r="25" spans="1:6" x14ac:dyDescent="0.25">
      <c r="B25" s="7" t="s">
        <v>772</v>
      </c>
      <c r="C25" s="7" t="s">
        <v>773</v>
      </c>
      <c r="E25" s="7">
        <v>0</v>
      </c>
      <c r="F25" s="7">
        <v>126</v>
      </c>
    </row>
    <row r="26" spans="1:6" x14ac:dyDescent="0.25">
      <c r="B26" s="7" t="s">
        <v>780</v>
      </c>
      <c r="C26" s="7" t="s">
        <v>781</v>
      </c>
      <c r="E26" s="7">
        <v>0</v>
      </c>
      <c r="F26" s="7">
        <v>135</v>
      </c>
    </row>
    <row r="27" spans="1:6" x14ac:dyDescent="0.25">
      <c r="B27" s="7" t="s">
        <v>785</v>
      </c>
      <c r="C27" s="7" t="s">
        <v>786</v>
      </c>
      <c r="E27" s="7">
        <v>5</v>
      </c>
      <c r="F27" s="7">
        <v>155</v>
      </c>
    </row>
    <row r="28" spans="1:6" x14ac:dyDescent="0.25">
      <c r="B28" s="7" t="s">
        <v>787</v>
      </c>
      <c r="C28" s="7" t="s">
        <v>788</v>
      </c>
      <c r="E28" s="7">
        <v>2</v>
      </c>
      <c r="F28" s="7">
        <v>155</v>
      </c>
    </row>
    <row r="29" spans="1:6" x14ac:dyDescent="0.25">
      <c r="B29" s="7" t="s">
        <v>789</v>
      </c>
      <c r="C29" s="7" t="s">
        <v>790</v>
      </c>
      <c r="E29" s="7">
        <v>3</v>
      </c>
      <c r="F29" s="7">
        <v>166</v>
      </c>
    </row>
    <row r="30" spans="1:6" x14ac:dyDescent="0.25">
      <c r="B30" s="7" t="s">
        <v>778</v>
      </c>
      <c r="C30" s="7" t="s">
        <v>779</v>
      </c>
      <c r="E30" s="7">
        <v>5</v>
      </c>
      <c r="F30" s="7">
        <v>180</v>
      </c>
    </row>
    <row r="31" spans="1:6" x14ac:dyDescent="0.25">
      <c r="B31" s="7" t="s">
        <v>776</v>
      </c>
      <c r="C31" s="7" t="s">
        <v>777</v>
      </c>
      <c r="E31" s="7">
        <v>3</v>
      </c>
      <c r="F31" s="7">
        <v>171</v>
      </c>
    </row>
    <row r="32" spans="1:6" x14ac:dyDescent="0.25">
      <c r="B32" s="7" t="s">
        <v>791</v>
      </c>
      <c r="C32" s="7" t="s">
        <v>792</v>
      </c>
      <c r="E32" s="7">
        <v>1</v>
      </c>
      <c r="F32" s="7">
        <v>180</v>
      </c>
    </row>
    <row r="33" spans="2:6" x14ac:dyDescent="0.25">
      <c r="B33" s="7" t="s">
        <v>782</v>
      </c>
      <c r="C33" s="7" t="s">
        <v>783</v>
      </c>
      <c r="E33" s="7">
        <v>0</v>
      </c>
      <c r="F33" s="7">
        <v>213</v>
      </c>
    </row>
    <row r="34" spans="2:6" x14ac:dyDescent="0.25">
      <c r="B34" s="7" t="s">
        <v>796</v>
      </c>
      <c r="C34" s="7" t="s">
        <v>797</v>
      </c>
      <c r="E34" s="7">
        <v>0</v>
      </c>
      <c r="F34" s="7">
        <v>224</v>
      </c>
    </row>
    <row r="35" spans="2:6" x14ac:dyDescent="0.25">
      <c r="B35" s="7" t="s">
        <v>774</v>
      </c>
      <c r="C35" s="7" t="s">
        <v>775</v>
      </c>
      <c r="E35" s="7">
        <v>2</v>
      </c>
      <c r="F35" s="7">
        <v>243</v>
      </c>
    </row>
    <row r="36" spans="2:6" x14ac:dyDescent="0.25">
      <c r="B36" s="7" t="s">
        <v>990</v>
      </c>
      <c r="C36" s="7" t="s">
        <v>991</v>
      </c>
      <c r="E36" s="7">
        <v>9</v>
      </c>
      <c r="F36" s="7">
        <v>273</v>
      </c>
    </row>
    <row r="39" spans="2:6" x14ac:dyDescent="0.25">
      <c r="E39" s="7">
        <f>SUM(E24:E38)</f>
        <v>31</v>
      </c>
    </row>
  </sheetData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H57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 x14ac:dyDescent="0.25">
      <c r="A1" s="91" t="s">
        <v>592</v>
      </c>
      <c r="B1" s="91" t="s">
        <v>449</v>
      </c>
      <c r="C1" s="91" t="s">
        <v>4654</v>
      </c>
      <c r="D1" s="91" t="s">
        <v>593</v>
      </c>
      <c r="E1" s="92" t="s">
        <v>594</v>
      </c>
      <c r="F1" s="91" t="s">
        <v>595</v>
      </c>
    </row>
    <row r="2" spans="1:8" x14ac:dyDescent="0.25">
      <c r="A2" s="7">
        <v>1</v>
      </c>
      <c r="B2" s="106" t="s">
        <v>591</v>
      </c>
      <c r="C2" s="106"/>
      <c r="D2" s="106"/>
      <c r="E2" s="106"/>
      <c r="F2" s="106"/>
    </row>
    <row r="3" spans="1:8" x14ac:dyDescent="0.25">
      <c r="A3" s="7">
        <v>2</v>
      </c>
      <c r="B3" s="7" t="s">
        <v>613</v>
      </c>
      <c r="C3" s="7" t="s">
        <v>596</v>
      </c>
      <c r="E3" s="7">
        <v>10</v>
      </c>
      <c r="F3" s="7">
        <v>293</v>
      </c>
    </row>
    <row r="4" spans="1:8" x14ac:dyDescent="0.25">
      <c r="A4" s="7">
        <v>3</v>
      </c>
      <c r="B4" s="7" t="s">
        <v>612</v>
      </c>
      <c r="C4" s="7" t="s">
        <v>597</v>
      </c>
      <c r="E4" s="7">
        <v>0</v>
      </c>
      <c r="F4" s="7">
        <v>230</v>
      </c>
    </row>
    <row r="5" spans="1:8" x14ac:dyDescent="0.25">
      <c r="A5" s="7">
        <v>4</v>
      </c>
      <c r="B5" s="14" t="s">
        <v>614</v>
      </c>
      <c r="C5" s="14" t="s">
        <v>598</v>
      </c>
      <c r="D5" s="14"/>
      <c r="E5" s="7">
        <v>0</v>
      </c>
      <c r="F5" s="7">
        <v>266</v>
      </c>
    </row>
    <row r="6" spans="1:8" x14ac:dyDescent="0.25">
      <c r="A6" s="7">
        <v>5</v>
      </c>
      <c r="B6" s="14" t="s">
        <v>599</v>
      </c>
      <c r="C6" s="14" t="s">
        <v>600</v>
      </c>
      <c r="D6" s="14"/>
      <c r="E6" s="7">
        <v>0</v>
      </c>
      <c r="F6" s="14">
        <v>230</v>
      </c>
    </row>
    <row r="7" spans="1:8" x14ac:dyDescent="0.25">
      <c r="A7" s="7">
        <v>6</v>
      </c>
      <c r="B7" s="14" t="s">
        <v>601</v>
      </c>
      <c r="C7" s="14" t="s">
        <v>602</v>
      </c>
      <c r="D7" s="14"/>
      <c r="E7" s="7">
        <v>5</v>
      </c>
      <c r="F7" s="14">
        <v>392</v>
      </c>
    </row>
    <row r="8" spans="1:8" x14ac:dyDescent="0.25">
      <c r="A8" s="7">
        <v>7</v>
      </c>
      <c r="B8" s="14" t="s">
        <v>616</v>
      </c>
      <c r="C8" s="14" t="s">
        <v>615</v>
      </c>
      <c r="D8" s="14"/>
      <c r="E8" s="7">
        <v>0</v>
      </c>
      <c r="F8" s="14">
        <v>257</v>
      </c>
    </row>
    <row r="9" spans="1:8" x14ac:dyDescent="0.25">
      <c r="A9" s="7">
        <v>8</v>
      </c>
      <c r="B9" s="14" t="s">
        <v>617</v>
      </c>
      <c r="C9" s="14" t="s">
        <v>603</v>
      </c>
      <c r="D9" s="14"/>
      <c r="E9" s="7">
        <v>0</v>
      </c>
      <c r="F9" s="14" t="s">
        <v>742</v>
      </c>
    </row>
    <row r="10" spans="1:8" x14ac:dyDescent="0.25">
      <c r="A10" s="7">
        <v>9</v>
      </c>
      <c r="B10" s="14" t="s">
        <v>623</v>
      </c>
      <c r="C10" s="14" t="s">
        <v>624</v>
      </c>
      <c r="D10" s="14"/>
      <c r="E10" s="7">
        <v>0</v>
      </c>
      <c r="F10" s="14">
        <v>185</v>
      </c>
    </row>
    <row r="11" spans="1:8" x14ac:dyDescent="0.25">
      <c r="A11" s="7">
        <v>10</v>
      </c>
      <c r="B11" s="14" t="s">
        <v>619</v>
      </c>
      <c r="C11" s="14" t="s">
        <v>618</v>
      </c>
      <c r="D11" s="14"/>
      <c r="E11" s="7">
        <v>5</v>
      </c>
      <c r="F11" s="14">
        <v>401</v>
      </c>
    </row>
    <row r="12" spans="1:8" x14ac:dyDescent="0.25">
      <c r="A12" s="7">
        <v>11</v>
      </c>
      <c r="B12" s="14" t="s">
        <v>620</v>
      </c>
      <c r="C12" s="14" t="s">
        <v>604</v>
      </c>
      <c r="D12" s="14"/>
      <c r="E12" s="7">
        <v>1</v>
      </c>
      <c r="F12" s="14">
        <v>437</v>
      </c>
    </row>
    <row r="13" spans="1:8" x14ac:dyDescent="0.25">
      <c r="A13" s="7">
        <v>12</v>
      </c>
      <c r="B13" s="14" t="s">
        <v>621</v>
      </c>
      <c r="C13" s="14" t="s">
        <v>622</v>
      </c>
      <c r="D13" s="14"/>
      <c r="E13" s="7">
        <v>1</v>
      </c>
      <c r="F13" s="14">
        <v>239</v>
      </c>
    </row>
    <row r="14" spans="1:8" x14ac:dyDescent="0.25">
      <c r="A14" s="7">
        <v>13</v>
      </c>
      <c r="B14" s="14" t="s">
        <v>605</v>
      </c>
      <c r="C14" s="14" t="s">
        <v>606</v>
      </c>
      <c r="D14" s="14"/>
      <c r="E14" s="7">
        <v>0</v>
      </c>
      <c r="F14" s="7">
        <v>455</v>
      </c>
      <c r="H14" s="7">
        <v>235</v>
      </c>
    </row>
    <row r="15" spans="1:8" x14ac:dyDescent="0.25">
      <c r="A15" s="7">
        <v>14</v>
      </c>
      <c r="B15" s="14" t="s">
        <v>607</v>
      </c>
      <c r="C15" s="14" t="s">
        <v>608</v>
      </c>
      <c r="D15" s="14"/>
      <c r="E15" s="7">
        <v>0</v>
      </c>
      <c r="F15" s="14">
        <v>266</v>
      </c>
    </row>
    <row r="16" spans="1:8" x14ac:dyDescent="0.25">
      <c r="A16" s="7">
        <v>15</v>
      </c>
      <c r="B16" s="14" t="s">
        <v>609</v>
      </c>
      <c r="C16" s="14" t="s">
        <v>1186</v>
      </c>
      <c r="D16" s="14"/>
      <c r="E16" s="7">
        <v>6</v>
      </c>
      <c r="F16" s="14">
        <v>266</v>
      </c>
    </row>
    <row r="17" spans="1:6" x14ac:dyDescent="0.25">
      <c r="A17" s="7">
        <v>16</v>
      </c>
      <c r="B17" s="14" t="s">
        <v>610</v>
      </c>
      <c r="C17" s="14" t="s">
        <v>611</v>
      </c>
      <c r="D17" s="14"/>
      <c r="E17" s="7">
        <v>10</v>
      </c>
      <c r="F17" s="14">
        <v>239</v>
      </c>
    </row>
    <row r="18" spans="1:6" x14ac:dyDescent="0.25">
      <c r="A18" s="7">
        <v>17</v>
      </c>
      <c r="B18" s="14" t="s">
        <v>628</v>
      </c>
      <c r="C18" s="14" t="s">
        <v>723</v>
      </c>
      <c r="D18" s="14"/>
      <c r="E18" s="7">
        <v>2</v>
      </c>
      <c r="F18" s="14">
        <v>356</v>
      </c>
    </row>
    <row r="19" spans="1:6" x14ac:dyDescent="0.25">
      <c r="A19" s="7">
        <v>18</v>
      </c>
      <c r="B19" s="14" t="s">
        <v>629</v>
      </c>
      <c r="C19" s="14" t="s">
        <v>632</v>
      </c>
      <c r="D19" s="14"/>
      <c r="E19" s="7">
        <v>3</v>
      </c>
      <c r="F19" s="14">
        <v>248</v>
      </c>
    </row>
    <row r="20" spans="1:6" x14ac:dyDescent="0.25">
      <c r="A20" s="7">
        <v>19</v>
      </c>
      <c r="B20" s="14" t="s">
        <v>630</v>
      </c>
      <c r="C20" s="14" t="s">
        <v>1189</v>
      </c>
      <c r="D20" s="14"/>
      <c r="E20" s="7">
        <v>0</v>
      </c>
      <c r="F20" s="14">
        <v>185</v>
      </c>
    </row>
    <row r="21" spans="1:6" x14ac:dyDescent="0.25">
      <c r="A21" s="7">
        <v>20</v>
      </c>
      <c r="B21" s="14" t="s">
        <v>631</v>
      </c>
      <c r="C21" s="14" t="s">
        <v>633</v>
      </c>
      <c r="D21" s="14"/>
      <c r="E21" s="7">
        <v>0</v>
      </c>
      <c r="F21" s="14">
        <v>203</v>
      </c>
    </row>
    <row r="22" spans="1:6" x14ac:dyDescent="0.25">
      <c r="A22" s="7">
        <v>21</v>
      </c>
      <c r="B22" s="14" t="s">
        <v>637</v>
      </c>
      <c r="E22" s="7">
        <v>3</v>
      </c>
      <c r="F22" s="14">
        <v>320</v>
      </c>
    </row>
    <row r="23" spans="1:6" x14ac:dyDescent="0.25">
      <c r="A23" s="7">
        <v>22</v>
      </c>
      <c r="B23" s="14" t="s">
        <v>641</v>
      </c>
      <c r="C23" s="14" t="s">
        <v>1218</v>
      </c>
      <c r="D23" s="14"/>
      <c r="E23" s="7">
        <v>0</v>
      </c>
      <c r="F23" s="14">
        <v>239</v>
      </c>
    </row>
    <row r="24" spans="1:6" x14ac:dyDescent="0.25">
      <c r="A24" s="7">
        <v>23</v>
      </c>
      <c r="B24" s="7">
        <v>840</v>
      </c>
      <c r="E24" s="7">
        <v>0</v>
      </c>
      <c r="F24" s="14">
        <v>176</v>
      </c>
    </row>
    <row r="25" spans="1:6" x14ac:dyDescent="0.25">
      <c r="A25" s="7">
        <v>24</v>
      </c>
      <c r="B25" s="14" t="s">
        <v>703</v>
      </c>
      <c r="C25" s="14" t="s">
        <v>642</v>
      </c>
      <c r="D25" s="14"/>
      <c r="E25" s="7">
        <v>0</v>
      </c>
      <c r="F25" s="14">
        <v>275</v>
      </c>
    </row>
    <row r="26" spans="1:6" x14ac:dyDescent="0.25">
      <c r="A26" s="7">
        <v>25</v>
      </c>
      <c r="B26" s="14" t="s">
        <v>643</v>
      </c>
      <c r="C26" s="7" t="s">
        <v>719</v>
      </c>
      <c r="E26" s="7">
        <v>0</v>
      </c>
      <c r="F26" s="14">
        <v>320</v>
      </c>
    </row>
    <row r="27" spans="1:6" x14ac:dyDescent="0.25">
      <c r="A27" s="7">
        <v>26</v>
      </c>
      <c r="B27" s="14" t="s">
        <v>644</v>
      </c>
      <c r="C27" s="7" t="s">
        <v>645</v>
      </c>
      <c r="E27" s="7">
        <v>3</v>
      </c>
      <c r="F27" s="14">
        <v>311</v>
      </c>
    </row>
    <row r="28" spans="1:6" x14ac:dyDescent="0.25">
      <c r="A28" s="7">
        <v>27</v>
      </c>
      <c r="B28" s="14" t="s">
        <v>649</v>
      </c>
      <c r="C28" s="14" t="s">
        <v>1188</v>
      </c>
      <c r="D28" s="14"/>
      <c r="E28" s="7">
        <v>2</v>
      </c>
      <c r="F28" s="14">
        <v>454</v>
      </c>
    </row>
    <row r="29" spans="1:6" x14ac:dyDescent="0.25">
      <c r="A29" s="7">
        <v>28</v>
      </c>
      <c r="B29" s="7" t="s">
        <v>638</v>
      </c>
      <c r="C29" s="7" t="s">
        <v>639</v>
      </c>
      <c r="E29" s="7">
        <v>0</v>
      </c>
    </row>
    <row r="30" spans="1:6" x14ac:dyDescent="0.25">
      <c r="A30" s="7">
        <v>29</v>
      </c>
      <c r="B30" s="14" t="s">
        <v>650</v>
      </c>
      <c r="E30" s="7">
        <v>5</v>
      </c>
      <c r="F30" s="14">
        <v>572</v>
      </c>
    </row>
    <row r="31" spans="1:6" x14ac:dyDescent="0.25">
      <c r="A31" s="7">
        <v>30</v>
      </c>
      <c r="B31" s="14" t="s">
        <v>654</v>
      </c>
      <c r="C31" s="7" t="s">
        <v>655</v>
      </c>
      <c r="E31" s="7">
        <v>2</v>
      </c>
      <c r="F31" s="7">
        <v>455</v>
      </c>
    </row>
    <row r="32" spans="1:6" x14ac:dyDescent="0.25">
      <c r="A32" s="7">
        <v>31</v>
      </c>
      <c r="B32" s="14" t="s">
        <v>656</v>
      </c>
      <c r="C32" s="14" t="s">
        <v>657</v>
      </c>
      <c r="D32" s="14"/>
      <c r="E32" s="7">
        <v>3</v>
      </c>
      <c r="F32" s="7">
        <v>536</v>
      </c>
    </row>
    <row r="33" spans="1:6" x14ac:dyDescent="0.25">
      <c r="A33" s="7">
        <v>32</v>
      </c>
      <c r="B33" s="14" t="s">
        <v>658</v>
      </c>
      <c r="E33" s="7">
        <v>0</v>
      </c>
    </row>
    <row r="34" spans="1:6" x14ac:dyDescent="0.25">
      <c r="A34" s="7">
        <v>33</v>
      </c>
      <c r="B34" s="14" t="s">
        <v>665</v>
      </c>
      <c r="E34" s="7">
        <v>0</v>
      </c>
      <c r="F34" s="7">
        <v>275</v>
      </c>
    </row>
    <row r="35" spans="1:6" x14ac:dyDescent="0.25">
      <c r="A35" s="7">
        <v>34</v>
      </c>
      <c r="B35" s="14" t="s">
        <v>666</v>
      </c>
      <c r="E35" s="7">
        <v>9</v>
      </c>
      <c r="F35" s="7">
        <v>338</v>
      </c>
    </row>
    <row r="36" spans="1:6" x14ac:dyDescent="0.25">
      <c r="A36" s="7">
        <v>35</v>
      </c>
      <c r="B36" s="14" t="s">
        <v>667</v>
      </c>
      <c r="E36" s="7">
        <v>2</v>
      </c>
      <c r="F36" s="7">
        <v>473</v>
      </c>
    </row>
    <row r="37" spans="1:6" x14ac:dyDescent="0.25">
      <c r="A37" s="7">
        <v>36</v>
      </c>
      <c r="B37" s="14" t="s">
        <v>688</v>
      </c>
      <c r="C37" s="7" t="s">
        <v>689</v>
      </c>
      <c r="E37" s="7">
        <v>0</v>
      </c>
    </row>
    <row r="38" spans="1:6" x14ac:dyDescent="0.25">
      <c r="A38" s="7">
        <v>37</v>
      </c>
      <c r="B38" s="14" t="s">
        <v>711</v>
      </c>
      <c r="C38" s="7" t="s">
        <v>712</v>
      </c>
      <c r="E38" s="7">
        <v>0</v>
      </c>
      <c r="F38" s="14">
        <v>284</v>
      </c>
    </row>
    <row r="39" spans="1:6" x14ac:dyDescent="0.25">
      <c r="A39" s="7">
        <v>38</v>
      </c>
      <c r="B39" s="14" t="s">
        <v>713</v>
      </c>
      <c r="C39" s="7" t="s">
        <v>714</v>
      </c>
      <c r="E39" s="7">
        <v>2</v>
      </c>
      <c r="F39" s="14">
        <v>473</v>
      </c>
    </row>
    <row r="40" spans="1:6" x14ac:dyDescent="0.25">
      <c r="A40" s="7">
        <v>39</v>
      </c>
      <c r="B40" s="14" t="s">
        <v>1388</v>
      </c>
      <c r="C40" s="14" t="s">
        <v>765</v>
      </c>
      <c r="D40" s="14"/>
      <c r="E40" s="7">
        <v>0</v>
      </c>
      <c r="F40" s="14">
        <v>176</v>
      </c>
    </row>
    <row r="41" spans="1:6" x14ac:dyDescent="0.25">
      <c r="A41" s="7">
        <v>40</v>
      </c>
      <c r="B41" s="14" t="s">
        <v>1389</v>
      </c>
      <c r="C41" s="14"/>
      <c r="D41" s="14"/>
      <c r="E41" s="7">
        <v>0</v>
      </c>
      <c r="F41" s="14"/>
    </row>
    <row r="42" spans="1:6" x14ac:dyDescent="0.25">
      <c r="A42" s="7">
        <v>41</v>
      </c>
      <c r="B42" s="14" t="s">
        <v>1390</v>
      </c>
      <c r="C42" s="14"/>
      <c r="D42" s="14"/>
      <c r="E42" s="7">
        <v>0</v>
      </c>
      <c r="F42" s="14"/>
    </row>
    <row r="43" spans="1:6" x14ac:dyDescent="0.25">
      <c r="A43" s="7">
        <v>42</v>
      </c>
      <c r="B43" s="14" t="s">
        <v>1391</v>
      </c>
      <c r="C43" s="14"/>
      <c r="D43" s="14"/>
      <c r="E43" s="7">
        <v>0</v>
      </c>
      <c r="F43" s="14"/>
    </row>
    <row r="44" spans="1:6" x14ac:dyDescent="0.25">
      <c r="A44" s="7">
        <v>43</v>
      </c>
      <c r="B44" s="14" t="s">
        <v>840</v>
      </c>
      <c r="E44" s="7">
        <v>0</v>
      </c>
    </row>
    <row r="45" spans="1:6" x14ac:dyDescent="0.25">
      <c r="A45" s="7">
        <v>44</v>
      </c>
      <c r="B45" s="14" t="s">
        <v>841</v>
      </c>
      <c r="E45" s="7">
        <v>2</v>
      </c>
      <c r="F45" s="7">
        <v>896</v>
      </c>
    </row>
    <row r="46" spans="1:6" x14ac:dyDescent="0.25">
      <c r="A46" s="7">
        <v>45</v>
      </c>
      <c r="B46" s="14" t="s">
        <v>1231</v>
      </c>
      <c r="C46" s="7" t="s">
        <v>1232</v>
      </c>
      <c r="E46" s="7">
        <v>5</v>
      </c>
      <c r="F46" s="7">
        <v>266</v>
      </c>
    </row>
    <row r="47" spans="1:6" x14ac:dyDescent="0.25">
      <c r="A47" s="7">
        <v>46</v>
      </c>
      <c r="B47" s="7" t="s">
        <v>3653</v>
      </c>
      <c r="E47" s="7">
        <v>5</v>
      </c>
      <c r="F47" s="7">
        <v>509</v>
      </c>
    </row>
    <row r="48" spans="1:6" x14ac:dyDescent="0.25">
      <c r="A48" s="7">
        <v>47</v>
      </c>
      <c r="B48" s="111" t="s">
        <v>4655</v>
      </c>
      <c r="C48" s="112"/>
      <c r="D48" s="112"/>
      <c r="E48" s="112"/>
      <c r="F48" s="113"/>
    </row>
    <row r="49" spans="1:7" x14ac:dyDescent="0.25">
      <c r="A49" s="7">
        <v>48</v>
      </c>
      <c r="B49" s="55" t="s">
        <v>1311</v>
      </c>
      <c r="E49" s="7">
        <v>30</v>
      </c>
      <c r="F49" s="7">
        <v>875</v>
      </c>
      <c r="G49" s="7">
        <v>510</v>
      </c>
    </row>
    <row r="50" spans="1:7" x14ac:dyDescent="0.25">
      <c r="A50" s="7">
        <v>49</v>
      </c>
      <c r="B50" s="7" t="s">
        <v>1313</v>
      </c>
      <c r="E50" s="7">
        <v>5</v>
      </c>
      <c r="F50" s="7">
        <v>2372</v>
      </c>
      <c r="G50" s="7">
        <v>1390</v>
      </c>
    </row>
    <row r="51" spans="1:7" x14ac:dyDescent="0.25">
      <c r="A51" s="7">
        <v>50</v>
      </c>
      <c r="B51" s="7" t="s">
        <v>1380</v>
      </c>
      <c r="E51" s="7">
        <v>2</v>
      </c>
      <c r="F51" s="7">
        <v>561</v>
      </c>
      <c r="G51" s="7">
        <v>380</v>
      </c>
    </row>
    <row r="52" spans="1:7" x14ac:dyDescent="0.25">
      <c r="A52" s="7">
        <v>51</v>
      </c>
      <c r="B52" s="7" t="s">
        <v>1314</v>
      </c>
      <c r="E52" s="7">
        <v>1</v>
      </c>
      <c r="F52" s="7">
        <v>702</v>
      </c>
      <c r="G52" s="7">
        <v>550</v>
      </c>
    </row>
    <row r="53" spans="1:7" x14ac:dyDescent="0.25">
      <c r="A53" s="7">
        <v>52</v>
      </c>
      <c r="B53" s="7" t="s">
        <v>1315</v>
      </c>
      <c r="E53" s="7">
        <v>0</v>
      </c>
      <c r="F53" s="7">
        <v>638</v>
      </c>
      <c r="G53" s="7">
        <v>500</v>
      </c>
    </row>
    <row r="54" spans="1:7" x14ac:dyDescent="0.25">
      <c r="A54" s="7">
        <v>53</v>
      </c>
      <c r="B54" s="7" t="s">
        <v>1316</v>
      </c>
      <c r="E54" s="7">
        <v>1</v>
      </c>
      <c r="F54" s="7">
        <v>538</v>
      </c>
      <c r="G54" s="7">
        <v>420</v>
      </c>
    </row>
    <row r="55" spans="1:7" x14ac:dyDescent="0.25">
      <c r="A55" s="7">
        <v>54</v>
      </c>
      <c r="B55" s="7" t="s">
        <v>1352</v>
      </c>
      <c r="E55" s="7">
        <v>6</v>
      </c>
      <c r="F55" s="7">
        <v>3234</v>
      </c>
      <c r="G55" s="7">
        <v>1925</v>
      </c>
    </row>
    <row r="56" spans="1:7" x14ac:dyDescent="0.25">
      <c r="A56" s="7">
        <v>55</v>
      </c>
      <c r="B56" s="7" t="s">
        <v>1975</v>
      </c>
      <c r="E56" s="7">
        <v>5</v>
      </c>
      <c r="F56" s="7">
        <v>268</v>
      </c>
      <c r="G56" s="7">
        <v>180</v>
      </c>
    </row>
    <row r="57" spans="1:7" x14ac:dyDescent="0.25">
      <c r="A57" s="7">
        <v>56</v>
      </c>
      <c r="B57" s="7" t="s">
        <v>2744</v>
      </c>
      <c r="E57" s="7">
        <v>35</v>
      </c>
      <c r="F57" s="7">
        <v>757</v>
      </c>
      <c r="G57" s="7">
        <v>475</v>
      </c>
    </row>
  </sheetData>
  <autoFilter ref="A1:H57" xr:uid="{00000000-0001-0000-0800-000000000000}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2:F19"/>
  <sheetViews>
    <sheetView workbookViewId="0">
      <selection activeCell="G23" sqref="G23"/>
    </sheetView>
  </sheetViews>
  <sheetFormatPr defaultColWidth="9.140625" defaultRowHeight="15" x14ac:dyDescent="0.2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 x14ac:dyDescent="0.25">
      <c r="B2" s="105" t="s">
        <v>1342</v>
      </c>
      <c r="C2" s="105"/>
    </row>
    <row r="4" spans="1:6" x14ac:dyDescent="0.25">
      <c r="A4" s="7">
        <v>1</v>
      </c>
      <c r="B4" s="7" t="s">
        <v>1336</v>
      </c>
      <c r="C4" s="7" t="s">
        <v>1337</v>
      </c>
      <c r="D4" s="7">
        <v>0</v>
      </c>
      <c r="E4" s="7">
        <v>165</v>
      </c>
    </row>
    <row r="5" spans="1:6" x14ac:dyDescent="0.25">
      <c r="A5" s="7">
        <v>2</v>
      </c>
      <c r="B5" s="7" t="s">
        <v>1338</v>
      </c>
      <c r="C5" s="7" t="s">
        <v>1339</v>
      </c>
      <c r="D5" s="7">
        <v>0</v>
      </c>
      <c r="E5" s="7">
        <v>84</v>
      </c>
    </row>
    <row r="6" spans="1:6" x14ac:dyDescent="0.25">
      <c r="A6" s="7">
        <v>3</v>
      </c>
      <c r="B6" s="7" t="s">
        <v>1340</v>
      </c>
      <c r="C6" s="7" t="s">
        <v>1341</v>
      </c>
      <c r="D6" s="7">
        <v>0</v>
      </c>
      <c r="E6" s="7">
        <v>25</v>
      </c>
    </row>
    <row r="7" spans="1:6" x14ac:dyDescent="0.25">
      <c r="B7" s="7" t="s">
        <v>1353</v>
      </c>
      <c r="C7" s="7" t="s">
        <v>1354</v>
      </c>
      <c r="D7" s="7">
        <v>0</v>
      </c>
      <c r="E7" s="7">
        <v>29</v>
      </c>
    </row>
    <row r="8" spans="1:6" x14ac:dyDescent="0.25">
      <c r="B8" s="7" t="s">
        <v>1355</v>
      </c>
      <c r="C8" s="7" t="s">
        <v>1395</v>
      </c>
      <c r="D8" s="7">
        <v>0</v>
      </c>
      <c r="E8" s="7">
        <v>38</v>
      </c>
    </row>
    <row r="9" spans="1:6" x14ac:dyDescent="0.25">
      <c r="B9" s="7" t="s">
        <v>1356</v>
      </c>
      <c r="C9" s="7">
        <v>1016</v>
      </c>
      <c r="D9" s="7">
        <v>10</v>
      </c>
      <c r="E9" s="7">
        <v>15</v>
      </c>
    </row>
    <row r="10" spans="1:6" x14ac:dyDescent="0.25">
      <c r="B10" s="7" t="s">
        <v>1357</v>
      </c>
      <c r="C10" s="7" t="s">
        <v>1358</v>
      </c>
      <c r="D10" s="7">
        <v>0</v>
      </c>
      <c r="E10" s="7">
        <v>8</v>
      </c>
    </row>
    <row r="11" spans="1:6" x14ac:dyDescent="0.25">
      <c r="B11" s="7" t="s">
        <v>1383</v>
      </c>
      <c r="C11" s="7" t="s">
        <v>1384</v>
      </c>
      <c r="D11" s="7">
        <v>0</v>
      </c>
      <c r="E11" s="7" t="s">
        <v>2746</v>
      </c>
      <c r="F11" s="7">
        <v>47</v>
      </c>
    </row>
    <row r="12" spans="1:6" x14ac:dyDescent="0.25">
      <c r="B12" s="7" t="s">
        <v>1385</v>
      </c>
      <c r="C12" s="7">
        <v>1141</v>
      </c>
      <c r="D12" s="7">
        <v>0</v>
      </c>
      <c r="E12" s="7">
        <v>13</v>
      </c>
    </row>
    <row r="13" spans="1:6" x14ac:dyDescent="0.25">
      <c r="B13" s="7" t="s">
        <v>1386</v>
      </c>
      <c r="C13" s="7" t="s">
        <v>1387</v>
      </c>
      <c r="D13" s="7">
        <v>5</v>
      </c>
      <c r="E13" s="7">
        <v>197</v>
      </c>
    </row>
    <row r="16" spans="1:6" x14ac:dyDescent="0.25">
      <c r="B16" s="105" t="s">
        <v>1343</v>
      </c>
      <c r="C16" s="105"/>
    </row>
    <row r="17" spans="1:5" x14ac:dyDescent="0.25">
      <c r="A17" s="7">
        <v>1</v>
      </c>
      <c r="B17" s="7">
        <v>6203</v>
      </c>
      <c r="C17" s="7" t="s">
        <v>1346</v>
      </c>
      <c r="D17" s="7">
        <v>5</v>
      </c>
      <c r="E17" s="7">
        <v>188</v>
      </c>
    </row>
    <row r="18" spans="1:5" x14ac:dyDescent="0.25">
      <c r="A18" s="7">
        <v>2</v>
      </c>
      <c r="B18" s="7" t="s">
        <v>1344</v>
      </c>
      <c r="C18" s="7" t="s">
        <v>1347</v>
      </c>
      <c r="D18" s="7">
        <v>5</v>
      </c>
      <c r="E18" s="7">
        <v>228</v>
      </c>
    </row>
    <row r="19" spans="1:5" x14ac:dyDescent="0.25">
      <c r="A19" s="7">
        <v>3</v>
      </c>
      <c r="B19" s="7">
        <v>30203</v>
      </c>
      <c r="C19" s="7" t="s">
        <v>1345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H479"/>
  <sheetViews>
    <sheetView zoomScaleNormal="100" zoomScalePageLayoutView="90" workbookViewId="0">
      <selection sqref="A1:G1"/>
    </sheetView>
  </sheetViews>
  <sheetFormatPr defaultColWidth="9.140625" defaultRowHeight="15" x14ac:dyDescent="0.25"/>
  <cols>
    <col min="1" max="1" width="6.85546875" style="47" bestFit="1" customWidth="1"/>
    <col min="2" max="2" width="27.5703125" style="47" bestFit="1" customWidth="1"/>
    <col min="3" max="3" width="18.5703125" style="47" bestFit="1" customWidth="1"/>
    <col min="4" max="4" width="63.140625" style="47" bestFit="1" customWidth="1"/>
    <col min="5" max="5" width="12.42578125" style="47" customWidth="1"/>
    <col min="6" max="6" width="0.140625" style="47" customWidth="1"/>
    <col min="7" max="7" width="15.5703125" style="47" customWidth="1"/>
    <col min="8" max="16384" width="9.140625" style="47"/>
  </cols>
  <sheetData>
    <row r="1" spans="1:8" ht="15.75" x14ac:dyDescent="0.25">
      <c r="A1" s="91" t="s">
        <v>592</v>
      </c>
      <c r="B1" s="91" t="s">
        <v>449</v>
      </c>
      <c r="C1" s="91" t="s">
        <v>4654</v>
      </c>
      <c r="D1" s="91" t="s">
        <v>593</v>
      </c>
      <c r="E1" s="92" t="s">
        <v>594</v>
      </c>
      <c r="F1" s="91" t="s">
        <v>595</v>
      </c>
    </row>
    <row r="2" spans="1:8" ht="31.5" customHeight="1" x14ac:dyDescent="0.25">
      <c r="A2" s="116">
        <v>2</v>
      </c>
      <c r="B2" s="114" t="s">
        <v>964</v>
      </c>
      <c r="C2" s="114"/>
      <c r="D2" s="114"/>
      <c r="E2" s="114"/>
      <c r="F2" s="114"/>
      <c r="G2" s="117"/>
      <c r="H2" s="118"/>
    </row>
    <row r="3" spans="1:8" ht="18" x14ac:dyDescent="0.25">
      <c r="A3" s="116">
        <v>3</v>
      </c>
      <c r="B3" s="117"/>
      <c r="C3" s="117"/>
      <c r="D3" s="119" t="s">
        <v>842</v>
      </c>
      <c r="E3" s="118">
        <v>3</v>
      </c>
      <c r="F3" s="117"/>
      <c r="G3" s="117"/>
      <c r="H3" s="120">
        <v>29.3</v>
      </c>
    </row>
    <row r="4" spans="1:8" ht="18" x14ac:dyDescent="0.25">
      <c r="A4" s="116">
        <v>4</v>
      </c>
      <c r="B4" s="121" t="s">
        <v>843</v>
      </c>
      <c r="C4" s="118" t="s">
        <v>846</v>
      </c>
      <c r="D4" s="119" t="s">
        <v>844</v>
      </c>
      <c r="E4" s="118">
        <v>14</v>
      </c>
      <c r="F4" s="117"/>
      <c r="G4" s="117"/>
      <c r="H4" s="120">
        <v>29.3</v>
      </c>
    </row>
    <row r="5" spans="1:8" ht="18" x14ac:dyDescent="0.25">
      <c r="A5" s="116">
        <v>5</v>
      </c>
      <c r="B5" s="121" t="s">
        <v>845</v>
      </c>
      <c r="C5" s="118" t="s">
        <v>846</v>
      </c>
      <c r="D5" s="119" t="s">
        <v>847</v>
      </c>
      <c r="E5" s="118">
        <v>9</v>
      </c>
      <c r="F5" s="117"/>
      <c r="G5" s="117"/>
      <c r="H5" s="120">
        <v>29.3</v>
      </c>
    </row>
    <row r="6" spans="1:8" ht="18" x14ac:dyDescent="0.25">
      <c r="A6" s="116">
        <v>6</v>
      </c>
      <c r="B6" s="121" t="s">
        <v>848</v>
      </c>
      <c r="C6" s="118" t="s">
        <v>846</v>
      </c>
      <c r="D6" s="119" t="s">
        <v>849</v>
      </c>
      <c r="E6" s="118">
        <v>2</v>
      </c>
      <c r="F6" s="117"/>
      <c r="G6" s="117"/>
      <c r="H6" s="120">
        <v>29.3</v>
      </c>
    </row>
    <row r="7" spans="1:8" ht="18" x14ac:dyDescent="0.25">
      <c r="A7" s="116">
        <v>7</v>
      </c>
      <c r="B7" s="121" t="s">
        <v>850</v>
      </c>
      <c r="C7" s="118" t="s">
        <v>846</v>
      </c>
      <c r="D7" s="119" t="s">
        <v>851</v>
      </c>
      <c r="E7" s="118">
        <v>4</v>
      </c>
      <c r="F7" s="117"/>
      <c r="G7" s="117"/>
      <c r="H7" s="120">
        <v>29.3</v>
      </c>
    </row>
    <row r="8" spans="1:8" ht="18" x14ac:dyDescent="0.25">
      <c r="A8" s="116">
        <v>8</v>
      </c>
      <c r="B8" s="121" t="s">
        <v>852</v>
      </c>
      <c r="C8" s="122" t="s">
        <v>846</v>
      </c>
      <c r="D8" s="119" t="s">
        <v>970</v>
      </c>
      <c r="E8" s="118">
        <v>12</v>
      </c>
      <c r="F8" s="117"/>
      <c r="G8" s="117"/>
      <c r="H8" s="120">
        <v>29.3</v>
      </c>
    </row>
    <row r="9" spans="1:8" ht="18" x14ac:dyDescent="0.25">
      <c r="A9" s="116">
        <v>9</v>
      </c>
      <c r="B9" s="121" t="s">
        <v>853</v>
      </c>
      <c r="C9" s="122" t="s">
        <v>846</v>
      </c>
      <c r="D9" s="119" t="s">
        <v>854</v>
      </c>
      <c r="E9" s="118">
        <v>3</v>
      </c>
      <c r="F9" s="117"/>
      <c r="G9" s="117"/>
      <c r="H9" s="120">
        <v>29.3</v>
      </c>
    </row>
    <row r="10" spans="1:8" ht="18" x14ac:dyDescent="0.25">
      <c r="A10" s="116">
        <v>10</v>
      </c>
      <c r="B10" s="121" t="s">
        <v>855</v>
      </c>
      <c r="C10" s="122" t="s">
        <v>846</v>
      </c>
      <c r="D10" s="119" t="s">
        <v>971</v>
      </c>
      <c r="E10" s="118">
        <v>1</v>
      </c>
      <c r="F10" s="117"/>
      <c r="G10" s="117"/>
      <c r="H10" s="120">
        <v>27</v>
      </c>
    </row>
    <row r="11" spans="1:8" ht="18" x14ac:dyDescent="0.25">
      <c r="A11" s="116">
        <v>11</v>
      </c>
      <c r="B11" s="121" t="s">
        <v>856</v>
      </c>
      <c r="C11" s="122" t="s">
        <v>846</v>
      </c>
      <c r="D11" s="119" t="s">
        <v>857</v>
      </c>
      <c r="E11" s="118">
        <v>7</v>
      </c>
      <c r="F11" s="117"/>
      <c r="G11" s="117"/>
      <c r="H11" s="120">
        <v>29.3</v>
      </c>
    </row>
    <row r="12" spans="1:8" ht="18" x14ac:dyDescent="0.25">
      <c r="A12" s="116">
        <v>12</v>
      </c>
      <c r="B12" s="121" t="s">
        <v>858</v>
      </c>
      <c r="C12" s="122" t="s">
        <v>846</v>
      </c>
      <c r="D12" s="119" t="s">
        <v>859</v>
      </c>
      <c r="E12" s="118">
        <v>2</v>
      </c>
      <c r="F12" s="117"/>
      <c r="G12" s="117"/>
      <c r="H12" s="120">
        <v>29.3</v>
      </c>
    </row>
    <row r="13" spans="1:8" ht="18" x14ac:dyDescent="0.25">
      <c r="A13" s="116">
        <v>13</v>
      </c>
      <c r="B13" s="121" t="s">
        <v>860</v>
      </c>
      <c r="C13" s="122" t="s">
        <v>846</v>
      </c>
      <c r="D13" s="119" t="s">
        <v>861</v>
      </c>
      <c r="E13" s="118">
        <v>4</v>
      </c>
      <c r="F13" s="117"/>
      <c r="G13" s="117"/>
      <c r="H13" s="120">
        <v>29.3</v>
      </c>
    </row>
    <row r="14" spans="1:8" ht="18" x14ac:dyDescent="0.25">
      <c r="A14" s="116">
        <v>14</v>
      </c>
      <c r="B14" s="121" t="s">
        <v>862</v>
      </c>
      <c r="C14" s="122" t="s">
        <v>846</v>
      </c>
      <c r="D14" s="119" t="s">
        <v>863</v>
      </c>
      <c r="E14" s="118">
        <v>6</v>
      </c>
      <c r="F14" s="117"/>
      <c r="G14" s="117"/>
      <c r="H14" s="120">
        <v>29.3</v>
      </c>
    </row>
    <row r="15" spans="1:8" ht="18" x14ac:dyDescent="0.25">
      <c r="A15" s="116">
        <v>15</v>
      </c>
      <c r="B15" s="121" t="s">
        <v>864</v>
      </c>
      <c r="C15" s="122" t="s">
        <v>846</v>
      </c>
      <c r="D15" s="119">
        <v>608</v>
      </c>
      <c r="E15" s="118">
        <v>6</v>
      </c>
      <c r="F15" s="117"/>
      <c r="G15" s="117"/>
      <c r="H15" s="120">
        <v>29.3</v>
      </c>
    </row>
    <row r="16" spans="1:8" ht="18" x14ac:dyDescent="0.25">
      <c r="A16" s="116">
        <v>16</v>
      </c>
      <c r="B16" s="118" t="s">
        <v>1032</v>
      </c>
      <c r="C16" s="122" t="s">
        <v>846</v>
      </c>
      <c r="D16" s="122" t="s">
        <v>866</v>
      </c>
      <c r="E16" s="118">
        <v>5</v>
      </c>
      <c r="F16" s="117"/>
      <c r="G16" s="117"/>
      <c r="H16" s="120">
        <v>27</v>
      </c>
    </row>
    <row r="17" spans="1:8" ht="18" x14ac:dyDescent="0.25">
      <c r="A17" s="116">
        <v>17</v>
      </c>
      <c r="B17" s="121" t="s">
        <v>949</v>
      </c>
      <c r="C17" s="118" t="s">
        <v>846</v>
      </c>
      <c r="D17" s="119" t="s">
        <v>950</v>
      </c>
      <c r="E17" s="118">
        <v>4</v>
      </c>
      <c r="F17" s="117"/>
      <c r="G17" s="117"/>
      <c r="H17" s="120">
        <v>29.3</v>
      </c>
    </row>
    <row r="18" spans="1:8" ht="18" x14ac:dyDescent="0.25">
      <c r="A18" s="116">
        <v>18</v>
      </c>
      <c r="B18" s="121" t="s">
        <v>951</v>
      </c>
      <c r="C18" s="118" t="s">
        <v>846</v>
      </c>
      <c r="D18" s="119" t="s">
        <v>952</v>
      </c>
      <c r="E18" s="118">
        <v>3</v>
      </c>
      <c r="F18" s="117"/>
      <c r="G18" s="117"/>
      <c r="H18" s="120">
        <v>27</v>
      </c>
    </row>
    <row r="19" spans="1:8" ht="18" x14ac:dyDescent="0.25">
      <c r="A19" s="116">
        <v>19</v>
      </c>
      <c r="B19" s="121" t="s">
        <v>2831</v>
      </c>
      <c r="C19" s="118" t="s">
        <v>846</v>
      </c>
      <c r="D19" s="119"/>
      <c r="E19" s="118">
        <v>11</v>
      </c>
      <c r="F19" s="117"/>
      <c r="G19" s="117"/>
      <c r="H19" s="120"/>
    </row>
    <row r="20" spans="1:8" ht="18" x14ac:dyDescent="0.25">
      <c r="A20" s="116">
        <v>20</v>
      </c>
      <c r="B20" s="121" t="s">
        <v>953</v>
      </c>
      <c r="C20" s="118" t="s">
        <v>846</v>
      </c>
      <c r="D20" s="119" t="s">
        <v>954</v>
      </c>
      <c r="E20" s="118">
        <v>14</v>
      </c>
      <c r="F20" s="117"/>
      <c r="G20" s="117"/>
      <c r="H20" s="120">
        <v>27</v>
      </c>
    </row>
    <row r="21" spans="1:8" ht="18" x14ac:dyDescent="0.25">
      <c r="A21" s="116">
        <v>21</v>
      </c>
      <c r="B21" s="121" t="s">
        <v>955</v>
      </c>
      <c r="C21" s="118" t="s">
        <v>846</v>
      </c>
      <c r="D21" s="119" t="s">
        <v>967</v>
      </c>
      <c r="E21" s="118">
        <v>14</v>
      </c>
      <c r="F21" s="117"/>
      <c r="G21" s="117"/>
      <c r="H21" s="120">
        <v>29.3</v>
      </c>
    </row>
    <row r="22" spans="1:8" ht="18" x14ac:dyDescent="0.25">
      <c r="A22" s="116">
        <v>22</v>
      </c>
      <c r="B22" s="121" t="s">
        <v>2232</v>
      </c>
      <c r="C22" s="118" t="s">
        <v>846</v>
      </c>
      <c r="D22" s="119"/>
      <c r="E22" s="118">
        <v>0</v>
      </c>
      <c r="F22" s="117"/>
      <c r="G22" s="117"/>
      <c r="H22" s="120"/>
    </row>
    <row r="23" spans="1:8" ht="18" x14ac:dyDescent="0.25">
      <c r="A23" s="116">
        <v>23</v>
      </c>
      <c r="B23" s="121" t="s">
        <v>956</v>
      </c>
      <c r="C23" s="118" t="s">
        <v>846</v>
      </c>
      <c r="D23" s="119" t="s">
        <v>957</v>
      </c>
      <c r="E23" s="118">
        <v>0</v>
      </c>
      <c r="F23" s="117"/>
      <c r="G23" s="117"/>
      <c r="H23" s="120">
        <v>27</v>
      </c>
    </row>
    <row r="24" spans="1:8" ht="18" x14ac:dyDescent="0.25">
      <c r="A24" s="116">
        <v>24</v>
      </c>
      <c r="B24" s="121" t="s">
        <v>958</v>
      </c>
      <c r="C24" s="118" t="s">
        <v>846</v>
      </c>
      <c r="D24" s="119" t="s">
        <v>959</v>
      </c>
      <c r="E24" s="118">
        <v>5</v>
      </c>
      <c r="F24" s="117"/>
      <c r="G24" s="117"/>
      <c r="H24" s="120">
        <v>29.3</v>
      </c>
    </row>
    <row r="25" spans="1:8" ht="18" x14ac:dyDescent="0.25">
      <c r="A25" s="116">
        <v>25</v>
      </c>
      <c r="B25" s="121" t="s">
        <v>960</v>
      </c>
      <c r="C25" s="118" t="s">
        <v>846</v>
      </c>
      <c r="D25" s="119" t="s">
        <v>961</v>
      </c>
      <c r="E25" s="118">
        <v>2</v>
      </c>
      <c r="F25" s="117"/>
      <c r="G25" s="117"/>
      <c r="H25" s="120">
        <v>29.3</v>
      </c>
    </row>
    <row r="26" spans="1:8" ht="18" x14ac:dyDescent="0.25">
      <c r="A26" s="116">
        <v>26</v>
      </c>
      <c r="B26" s="121" t="s">
        <v>962</v>
      </c>
      <c r="C26" s="118" t="s">
        <v>846</v>
      </c>
      <c r="D26" s="119" t="s">
        <v>963</v>
      </c>
      <c r="E26" s="118">
        <v>0</v>
      </c>
      <c r="F26" s="117"/>
      <c r="G26" s="117"/>
      <c r="H26" s="120">
        <v>29.3</v>
      </c>
    </row>
    <row r="27" spans="1:8" ht="18" x14ac:dyDescent="0.25">
      <c r="A27" s="116">
        <v>27</v>
      </c>
      <c r="B27" s="121" t="s">
        <v>995</v>
      </c>
      <c r="C27" s="122" t="s">
        <v>846</v>
      </c>
      <c r="D27" s="119" t="s">
        <v>996</v>
      </c>
      <c r="E27" s="118">
        <v>16</v>
      </c>
      <c r="F27" s="117"/>
      <c r="G27" s="117"/>
      <c r="H27" s="120">
        <v>29.3</v>
      </c>
    </row>
    <row r="28" spans="1:8" ht="18" x14ac:dyDescent="0.25">
      <c r="A28" s="116">
        <v>28</v>
      </c>
      <c r="B28" s="121" t="s">
        <v>999</v>
      </c>
      <c r="C28" s="122" t="s">
        <v>846</v>
      </c>
      <c r="D28" s="119" t="s">
        <v>3090</v>
      </c>
      <c r="E28" s="118">
        <v>8</v>
      </c>
      <c r="F28" s="117"/>
      <c r="G28" s="117"/>
      <c r="H28" s="120">
        <v>29.3</v>
      </c>
    </row>
    <row r="29" spans="1:8" ht="18" x14ac:dyDescent="0.25">
      <c r="A29" s="116">
        <v>29</v>
      </c>
      <c r="B29" s="121" t="s">
        <v>1004</v>
      </c>
      <c r="C29" s="118" t="s">
        <v>846</v>
      </c>
      <c r="D29" s="119" t="s">
        <v>1005</v>
      </c>
      <c r="E29" s="118">
        <v>1</v>
      </c>
      <c r="F29" s="117"/>
      <c r="G29" s="117"/>
      <c r="H29" s="120">
        <v>29.3</v>
      </c>
    </row>
    <row r="30" spans="1:8" ht="18" x14ac:dyDescent="0.25">
      <c r="A30" s="116">
        <v>30</v>
      </c>
      <c r="B30" s="121" t="s">
        <v>1006</v>
      </c>
      <c r="C30" s="118" t="s">
        <v>846</v>
      </c>
      <c r="D30" s="119" t="s">
        <v>1007</v>
      </c>
      <c r="E30" s="118">
        <v>1</v>
      </c>
      <c r="F30" s="117"/>
      <c r="G30" s="117"/>
      <c r="H30" s="120">
        <v>29.3</v>
      </c>
    </row>
    <row r="31" spans="1:8" ht="18" x14ac:dyDescent="0.25">
      <c r="A31" s="116">
        <v>31</v>
      </c>
      <c r="B31" s="121" t="s">
        <v>1068</v>
      </c>
      <c r="C31" s="118" t="s">
        <v>846</v>
      </c>
      <c r="D31" s="119" t="s">
        <v>1069</v>
      </c>
      <c r="E31" s="118">
        <v>1</v>
      </c>
      <c r="F31" s="117"/>
      <c r="G31" s="117"/>
      <c r="H31" s="120">
        <v>35.43</v>
      </c>
    </row>
    <row r="32" spans="1:8" ht="18" x14ac:dyDescent="0.25">
      <c r="A32" s="116">
        <v>32</v>
      </c>
      <c r="B32" s="121" t="s">
        <v>1077</v>
      </c>
      <c r="C32" s="118" t="s">
        <v>846</v>
      </c>
      <c r="D32" s="119" t="s">
        <v>1078</v>
      </c>
      <c r="E32" s="118">
        <v>1</v>
      </c>
      <c r="F32" s="117"/>
      <c r="G32" s="117"/>
      <c r="H32" s="120">
        <v>29.3</v>
      </c>
    </row>
    <row r="33" spans="1:8" ht="18" x14ac:dyDescent="0.25">
      <c r="A33" s="116">
        <v>33</v>
      </c>
      <c r="B33" s="121" t="s">
        <v>1081</v>
      </c>
      <c r="C33" s="118" t="s">
        <v>846</v>
      </c>
      <c r="D33" s="119" t="s">
        <v>1082</v>
      </c>
      <c r="E33" s="118">
        <v>9</v>
      </c>
      <c r="F33" s="117"/>
      <c r="G33" s="117"/>
      <c r="H33" s="120">
        <v>29.3</v>
      </c>
    </row>
    <row r="34" spans="1:8" ht="18" x14ac:dyDescent="0.25">
      <c r="A34" s="116">
        <v>34</v>
      </c>
      <c r="B34" s="121" t="s">
        <v>1083</v>
      </c>
      <c r="C34" s="118" t="s">
        <v>846</v>
      </c>
      <c r="D34" s="119" t="s">
        <v>1084</v>
      </c>
      <c r="E34" s="118">
        <v>3</v>
      </c>
      <c r="F34" s="117"/>
      <c r="G34" s="117"/>
      <c r="H34" s="120">
        <v>27</v>
      </c>
    </row>
    <row r="35" spans="1:8" ht="18" x14ac:dyDescent="0.25">
      <c r="A35" s="116">
        <v>35</v>
      </c>
      <c r="B35" s="121" t="s">
        <v>1085</v>
      </c>
      <c r="C35" s="122" t="s">
        <v>846</v>
      </c>
      <c r="D35" s="119" t="s">
        <v>1086</v>
      </c>
      <c r="E35" s="118">
        <v>3</v>
      </c>
      <c r="F35" s="117"/>
      <c r="G35" s="117"/>
      <c r="H35" s="120">
        <v>35.43</v>
      </c>
    </row>
    <row r="36" spans="1:8" ht="18" x14ac:dyDescent="0.25">
      <c r="A36" s="116">
        <v>36</v>
      </c>
      <c r="B36" s="121" t="s">
        <v>1087</v>
      </c>
      <c r="C36" s="122" t="s">
        <v>846</v>
      </c>
      <c r="D36" s="122" t="s">
        <v>1135</v>
      </c>
      <c r="E36" s="118">
        <v>2</v>
      </c>
      <c r="F36" s="117"/>
      <c r="G36" s="117"/>
      <c r="H36" s="120">
        <v>27</v>
      </c>
    </row>
    <row r="37" spans="1:8" ht="18" x14ac:dyDescent="0.25">
      <c r="A37" s="116">
        <v>37</v>
      </c>
      <c r="B37" s="121" t="s">
        <v>1089</v>
      </c>
      <c r="C37" s="122" t="s">
        <v>846</v>
      </c>
      <c r="D37" s="119" t="s">
        <v>1090</v>
      </c>
      <c r="E37" s="118">
        <v>5</v>
      </c>
      <c r="F37" s="117"/>
      <c r="G37" s="117"/>
      <c r="H37" s="120">
        <v>29.3</v>
      </c>
    </row>
    <row r="38" spans="1:8" ht="18" x14ac:dyDescent="0.25">
      <c r="A38" s="116">
        <v>38</v>
      </c>
      <c r="B38" s="121" t="s">
        <v>1091</v>
      </c>
      <c r="C38" s="122" t="s">
        <v>846</v>
      </c>
      <c r="D38" s="119" t="s">
        <v>1092</v>
      </c>
      <c r="E38" s="118">
        <v>3</v>
      </c>
      <c r="F38" s="117"/>
      <c r="G38" s="117"/>
      <c r="H38" s="120">
        <v>50.62</v>
      </c>
    </row>
    <row r="39" spans="1:8" ht="18" x14ac:dyDescent="0.25">
      <c r="A39" s="116">
        <v>39</v>
      </c>
      <c r="B39" s="121" t="s">
        <v>1093</v>
      </c>
      <c r="C39" s="122" t="s">
        <v>846</v>
      </c>
      <c r="D39" s="119" t="s">
        <v>1094</v>
      </c>
      <c r="E39" s="118">
        <v>6</v>
      </c>
      <c r="F39" s="117"/>
      <c r="G39" s="117"/>
      <c r="H39" s="120">
        <v>35.43</v>
      </c>
    </row>
    <row r="40" spans="1:8" ht="18" x14ac:dyDescent="0.25">
      <c r="A40" s="116">
        <v>40</v>
      </c>
      <c r="B40" s="121" t="s">
        <v>1095</v>
      </c>
      <c r="C40" s="122" t="s">
        <v>846</v>
      </c>
      <c r="D40" s="119" t="s">
        <v>1096</v>
      </c>
      <c r="E40" s="118">
        <v>2</v>
      </c>
      <c r="F40" s="117"/>
      <c r="G40" s="117"/>
      <c r="H40" s="120">
        <v>36</v>
      </c>
    </row>
    <row r="41" spans="1:8" ht="18" x14ac:dyDescent="0.25">
      <c r="A41" s="116">
        <v>41</v>
      </c>
      <c r="B41" s="121" t="s">
        <v>1097</v>
      </c>
      <c r="C41" s="122" t="s">
        <v>846</v>
      </c>
      <c r="D41" s="119" t="s">
        <v>1098</v>
      </c>
      <c r="E41" s="118">
        <v>12</v>
      </c>
      <c r="F41" s="117"/>
      <c r="G41" s="117"/>
      <c r="H41" s="120">
        <v>29.81</v>
      </c>
    </row>
    <row r="42" spans="1:8" ht="18" x14ac:dyDescent="0.25">
      <c r="A42" s="116">
        <v>42</v>
      </c>
      <c r="B42" s="121" t="s">
        <v>1099</v>
      </c>
      <c r="C42" s="122" t="s">
        <v>846</v>
      </c>
      <c r="D42" s="119" t="s">
        <v>1100</v>
      </c>
      <c r="E42" s="118">
        <v>3</v>
      </c>
      <c r="F42" s="117"/>
      <c r="G42" s="117"/>
      <c r="H42" s="120">
        <v>35.43</v>
      </c>
    </row>
    <row r="43" spans="1:8" ht="18" x14ac:dyDescent="0.25">
      <c r="A43" s="116">
        <v>43</v>
      </c>
      <c r="B43" s="121" t="s">
        <v>1101</v>
      </c>
      <c r="C43" s="122" t="s">
        <v>846</v>
      </c>
      <c r="D43" s="119" t="s">
        <v>1102</v>
      </c>
      <c r="E43" s="118">
        <v>2</v>
      </c>
      <c r="F43" s="117"/>
      <c r="G43" s="117"/>
      <c r="H43" s="120">
        <v>29.81</v>
      </c>
    </row>
    <row r="44" spans="1:8" ht="18" x14ac:dyDescent="0.25">
      <c r="A44" s="116">
        <v>44</v>
      </c>
      <c r="B44" s="121" t="s">
        <v>1103</v>
      </c>
      <c r="C44" s="122" t="s">
        <v>846</v>
      </c>
      <c r="D44" s="119" t="s">
        <v>1104</v>
      </c>
      <c r="E44" s="118">
        <v>1</v>
      </c>
      <c r="F44" s="117"/>
      <c r="G44" s="117"/>
      <c r="H44" s="120">
        <v>35.43</v>
      </c>
    </row>
    <row r="45" spans="1:8" ht="18" x14ac:dyDescent="0.25">
      <c r="A45" s="116">
        <v>45</v>
      </c>
      <c r="B45" s="121" t="s">
        <v>1105</v>
      </c>
      <c r="C45" s="122" t="s">
        <v>846</v>
      </c>
      <c r="D45" s="119" t="s">
        <v>1106</v>
      </c>
      <c r="E45" s="118">
        <v>6</v>
      </c>
      <c r="F45" s="117"/>
      <c r="G45" s="117"/>
      <c r="H45" s="120">
        <v>36</v>
      </c>
    </row>
    <row r="46" spans="1:8" ht="18" x14ac:dyDescent="0.25">
      <c r="A46" s="116">
        <v>46</v>
      </c>
      <c r="B46" s="121" t="s">
        <v>1107</v>
      </c>
      <c r="C46" s="122" t="s">
        <v>846</v>
      </c>
      <c r="D46" s="119" t="s">
        <v>1108</v>
      </c>
      <c r="E46" s="118">
        <v>4</v>
      </c>
      <c r="F46" s="117"/>
      <c r="G46" s="117"/>
      <c r="H46" s="120">
        <v>29.3</v>
      </c>
    </row>
    <row r="47" spans="1:8" ht="18" x14ac:dyDescent="0.25">
      <c r="A47" s="116">
        <v>47</v>
      </c>
      <c r="B47" s="118" t="s">
        <v>1109</v>
      </c>
      <c r="C47" s="122" t="s">
        <v>846</v>
      </c>
      <c r="D47" s="122" t="s">
        <v>1110</v>
      </c>
      <c r="E47" s="118">
        <v>6</v>
      </c>
      <c r="F47" s="117"/>
      <c r="G47" s="117"/>
      <c r="H47" s="120">
        <v>27</v>
      </c>
    </row>
    <row r="48" spans="1:8" ht="18" x14ac:dyDescent="0.25">
      <c r="A48" s="116">
        <v>48</v>
      </c>
      <c r="B48" s="123" t="s">
        <v>1190</v>
      </c>
      <c r="C48" s="124" t="s">
        <v>846</v>
      </c>
      <c r="D48" s="125" t="s">
        <v>1191</v>
      </c>
      <c r="E48" s="118">
        <v>3</v>
      </c>
      <c r="F48" s="117"/>
      <c r="G48" s="117"/>
      <c r="H48" s="120">
        <v>29.3</v>
      </c>
    </row>
    <row r="49" spans="1:8" ht="18" x14ac:dyDescent="0.25">
      <c r="A49" s="116">
        <v>49</v>
      </c>
      <c r="B49" s="123" t="s">
        <v>1261</v>
      </c>
      <c r="C49" s="124" t="s">
        <v>846</v>
      </c>
      <c r="D49" s="125" t="s">
        <v>1184</v>
      </c>
      <c r="E49" s="118">
        <v>6</v>
      </c>
      <c r="F49" s="117"/>
      <c r="G49" s="117"/>
      <c r="H49" s="120">
        <v>27</v>
      </c>
    </row>
    <row r="50" spans="1:8" ht="18" x14ac:dyDescent="0.25">
      <c r="A50" s="116">
        <v>50</v>
      </c>
      <c r="B50" s="123" t="s">
        <v>1264</v>
      </c>
      <c r="C50" s="126" t="s">
        <v>846</v>
      </c>
      <c r="D50" s="125" t="s">
        <v>1265</v>
      </c>
      <c r="E50" s="118">
        <v>0</v>
      </c>
      <c r="F50" s="117"/>
      <c r="G50" s="117"/>
      <c r="H50" s="120">
        <v>27</v>
      </c>
    </row>
    <row r="51" spans="1:8" ht="18" x14ac:dyDescent="0.25">
      <c r="A51" s="116">
        <v>51</v>
      </c>
      <c r="B51" s="123" t="s">
        <v>1296</v>
      </c>
      <c r="C51" s="126" t="s">
        <v>846</v>
      </c>
      <c r="D51" s="125" t="s">
        <v>1297</v>
      </c>
      <c r="E51" s="118">
        <v>3</v>
      </c>
      <c r="F51" s="117"/>
      <c r="G51" s="117"/>
      <c r="H51" s="120">
        <v>27</v>
      </c>
    </row>
    <row r="52" spans="1:8" ht="18" x14ac:dyDescent="0.25">
      <c r="A52" s="116">
        <v>52</v>
      </c>
      <c r="B52" s="123" t="s">
        <v>1298</v>
      </c>
      <c r="C52" s="126" t="s">
        <v>846</v>
      </c>
      <c r="D52" s="125" t="s">
        <v>1299</v>
      </c>
      <c r="E52" s="118">
        <v>6</v>
      </c>
      <c r="F52" s="117"/>
      <c r="G52" s="117"/>
      <c r="H52" s="120">
        <v>29.3</v>
      </c>
    </row>
    <row r="53" spans="1:8" ht="18" x14ac:dyDescent="0.25">
      <c r="A53" s="116">
        <v>53</v>
      </c>
      <c r="B53" s="123" t="s">
        <v>1304</v>
      </c>
      <c r="C53" s="124" t="s">
        <v>846</v>
      </c>
      <c r="D53" s="125" t="s">
        <v>1305</v>
      </c>
      <c r="E53" s="118">
        <v>3</v>
      </c>
      <c r="F53" s="117"/>
      <c r="G53" s="117"/>
      <c r="H53" s="120">
        <v>27</v>
      </c>
    </row>
    <row r="54" spans="1:8" ht="18" x14ac:dyDescent="0.25">
      <c r="A54" s="116">
        <v>54</v>
      </c>
      <c r="B54" s="115" t="s">
        <v>1322</v>
      </c>
      <c r="C54" s="115" t="s">
        <v>1323</v>
      </c>
      <c r="D54" s="115" t="s">
        <v>2233</v>
      </c>
      <c r="E54" s="118">
        <v>4</v>
      </c>
      <c r="F54" s="117"/>
      <c r="G54" s="117"/>
      <c r="H54" s="120">
        <v>29.3</v>
      </c>
    </row>
    <row r="55" spans="1:8" ht="18" x14ac:dyDescent="0.25">
      <c r="A55" s="116">
        <v>55</v>
      </c>
      <c r="B55" s="127" t="s">
        <v>1362</v>
      </c>
      <c r="C55" s="115" t="s">
        <v>1323</v>
      </c>
      <c r="D55" s="115" t="s">
        <v>1363</v>
      </c>
      <c r="E55" s="118">
        <v>1</v>
      </c>
      <c r="F55" s="117"/>
      <c r="G55" s="117"/>
      <c r="H55" s="120">
        <v>29.8</v>
      </c>
    </row>
    <row r="56" spans="1:8" ht="18" x14ac:dyDescent="0.25">
      <c r="A56" s="116">
        <v>56</v>
      </c>
      <c r="B56" s="127" t="s">
        <v>1364</v>
      </c>
      <c r="C56" s="115" t="s">
        <v>1323</v>
      </c>
      <c r="D56" s="115" t="s">
        <v>1365</v>
      </c>
      <c r="E56" s="118">
        <v>4</v>
      </c>
      <c r="F56" s="117"/>
      <c r="G56" s="117"/>
      <c r="H56" s="120">
        <v>29.3</v>
      </c>
    </row>
    <row r="57" spans="1:8" ht="18" x14ac:dyDescent="0.25">
      <c r="A57" s="116">
        <v>57</v>
      </c>
      <c r="B57" s="127" t="s">
        <v>1366</v>
      </c>
      <c r="C57" s="115" t="s">
        <v>1323</v>
      </c>
      <c r="D57" s="115" t="s">
        <v>1367</v>
      </c>
      <c r="E57" s="118">
        <v>5</v>
      </c>
      <c r="F57" s="117"/>
      <c r="G57" s="117"/>
      <c r="H57" s="120">
        <v>27</v>
      </c>
    </row>
    <row r="58" spans="1:8" ht="18" x14ac:dyDescent="0.25">
      <c r="A58" s="116">
        <v>58</v>
      </c>
      <c r="B58" s="115" t="s">
        <v>1408</v>
      </c>
      <c r="C58" s="115" t="s">
        <v>1323</v>
      </c>
      <c r="D58" s="115" t="s">
        <v>1409</v>
      </c>
      <c r="E58" s="118">
        <v>4</v>
      </c>
      <c r="F58" s="117"/>
      <c r="G58" s="117"/>
      <c r="H58" s="120"/>
    </row>
    <row r="59" spans="1:8" ht="18" x14ac:dyDescent="0.25">
      <c r="A59" s="116">
        <v>59</v>
      </c>
      <c r="B59" s="127" t="s">
        <v>1410</v>
      </c>
      <c r="C59" s="115" t="s">
        <v>1323</v>
      </c>
      <c r="D59" s="115" t="s">
        <v>1411</v>
      </c>
      <c r="E59" s="118">
        <v>4</v>
      </c>
      <c r="F59" s="117"/>
      <c r="G59" s="117"/>
      <c r="H59" s="120"/>
    </row>
    <row r="60" spans="1:8" ht="18" x14ac:dyDescent="0.25">
      <c r="A60" s="116">
        <v>60</v>
      </c>
      <c r="B60" s="127" t="s">
        <v>1412</v>
      </c>
      <c r="C60" s="115" t="s">
        <v>1323</v>
      </c>
      <c r="D60" s="115" t="s">
        <v>1413</v>
      </c>
      <c r="E60" s="118">
        <v>5</v>
      </c>
      <c r="F60" s="117"/>
      <c r="G60" s="117"/>
      <c r="H60" s="120"/>
    </row>
    <row r="61" spans="1:8" ht="18" x14ac:dyDescent="0.25">
      <c r="A61" s="116">
        <v>61</v>
      </c>
      <c r="B61" s="123" t="s">
        <v>1417</v>
      </c>
      <c r="C61" s="124" t="s">
        <v>846</v>
      </c>
      <c r="D61" s="125" t="s">
        <v>1418</v>
      </c>
      <c r="E61" s="118">
        <v>3</v>
      </c>
      <c r="F61" s="117"/>
      <c r="G61" s="117"/>
      <c r="H61" s="120">
        <v>35.4</v>
      </c>
    </row>
    <row r="62" spans="1:8" ht="18" x14ac:dyDescent="0.25">
      <c r="A62" s="116">
        <v>62</v>
      </c>
      <c r="B62" s="123" t="s">
        <v>1589</v>
      </c>
      <c r="C62" s="126" t="s">
        <v>846</v>
      </c>
      <c r="D62" s="125" t="s">
        <v>1590</v>
      </c>
      <c r="E62" s="118">
        <v>2</v>
      </c>
      <c r="F62" s="117"/>
      <c r="G62" s="117"/>
      <c r="H62" s="120"/>
    </row>
    <row r="63" spans="1:8" ht="18" x14ac:dyDescent="0.25">
      <c r="A63" s="116">
        <v>63</v>
      </c>
      <c r="B63" s="123" t="s">
        <v>1591</v>
      </c>
      <c r="C63" s="126" t="s">
        <v>846</v>
      </c>
      <c r="D63" s="125" t="s">
        <v>2495</v>
      </c>
      <c r="E63" s="118">
        <v>5</v>
      </c>
      <c r="F63" s="117"/>
      <c r="G63" s="117"/>
      <c r="H63" s="120"/>
    </row>
    <row r="64" spans="1:8" ht="18" x14ac:dyDescent="0.25">
      <c r="A64" s="116">
        <v>64</v>
      </c>
      <c r="B64" s="123" t="s">
        <v>2087</v>
      </c>
      <c r="C64" s="126" t="s">
        <v>846</v>
      </c>
      <c r="D64" s="125" t="s">
        <v>1708</v>
      </c>
      <c r="E64" s="118">
        <v>3</v>
      </c>
      <c r="F64" s="117"/>
      <c r="G64" s="117"/>
      <c r="H64" s="120"/>
    </row>
    <row r="65" spans="1:8" ht="18" x14ac:dyDescent="0.25">
      <c r="A65" s="116">
        <v>65</v>
      </c>
      <c r="B65" s="123" t="s">
        <v>1741</v>
      </c>
      <c r="C65" s="128" t="s">
        <v>846</v>
      </c>
      <c r="D65" s="125" t="s">
        <v>1742</v>
      </c>
      <c r="E65" s="118">
        <v>4</v>
      </c>
      <c r="F65" s="117"/>
      <c r="G65" s="117"/>
      <c r="H65" s="120"/>
    </row>
    <row r="66" spans="1:8" ht="18" x14ac:dyDescent="0.25">
      <c r="A66" s="116">
        <v>66</v>
      </c>
      <c r="B66" s="123" t="s">
        <v>1743</v>
      </c>
      <c r="C66" s="125" t="s">
        <v>846</v>
      </c>
      <c r="D66" s="125" t="s">
        <v>1744</v>
      </c>
      <c r="E66" s="118">
        <v>1</v>
      </c>
      <c r="F66" s="117"/>
      <c r="G66" s="117"/>
      <c r="H66" s="120"/>
    </row>
    <row r="67" spans="1:8" ht="18" x14ac:dyDescent="0.25">
      <c r="A67" s="116">
        <v>67</v>
      </c>
      <c r="B67" s="123" t="s">
        <v>1752</v>
      </c>
      <c r="C67" s="125" t="s">
        <v>846</v>
      </c>
      <c r="D67" s="125" t="s">
        <v>1753</v>
      </c>
      <c r="E67" s="118">
        <v>4</v>
      </c>
      <c r="F67" s="117"/>
      <c r="G67" s="117"/>
      <c r="H67" s="120"/>
    </row>
    <row r="68" spans="1:8" ht="18" x14ac:dyDescent="0.25">
      <c r="A68" s="116">
        <v>68</v>
      </c>
      <c r="B68" s="123" t="s">
        <v>1755</v>
      </c>
      <c r="C68" s="125" t="s">
        <v>846</v>
      </c>
      <c r="D68" s="125" t="s">
        <v>1754</v>
      </c>
      <c r="E68" s="118">
        <v>6</v>
      </c>
      <c r="F68" s="117"/>
      <c r="G68" s="117"/>
      <c r="H68" s="120"/>
    </row>
    <row r="69" spans="1:8" ht="18" x14ac:dyDescent="0.25">
      <c r="A69" s="116">
        <v>69</v>
      </c>
      <c r="B69" s="123" t="s">
        <v>1756</v>
      </c>
      <c r="C69" s="125" t="s">
        <v>846</v>
      </c>
      <c r="D69" s="125" t="s">
        <v>1757</v>
      </c>
      <c r="E69" s="118">
        <v>5</v>
      </c>
      <c r="F69" s="117"/>
      <c r="G69" s="117"/>
      <c r="H69" s="120"/>
    </row>
    <row r="70" spans="1:8" ht="18" x14ac:dyDescent="0.25">
      <c r="A70" s="116">
        <v>70</v>
      </c>
      <c r="B70" s="123" t="s">
        <v>1758</v>
      </c>
      <c r="C70" s="125" t="s">
        <v>846</v>
      </c>
      <c r="D70" s="125" t="s">
        <v>1759</v>
      </c>
      <c r="E70" s="118">
        <v>1</v>
      </c>
      <c r="F70" s="117"/>
      <c r="G70" s="117"/>
      <c r="H70" s="120"/>
    </row>
    <row r="71" spans="1:8" ht="18" x14ac:dyDescent="0.25">
      <c r="A71" s="116">
        <v>71</v>
      </c>
      <c r="B71" s="123" t="s">
        <v>1760</v>
      </c>
      <c r="C71" s="128" t="s">
        <v>846</v>
      </c>
      <c r="D71" s="125" t="s">
        <v>1761</v>
      </c>
      <c r="E71" s="118">
        <v>9</v>
      </c>
      <c r="F71" s="117"/>
      <c r="G71" s="117"/>
      <c r="H71" s="120"/>
    </row>
    <row r="72" spans="1:8" ht="18" x14ac:dyDescent="0.25">
      <c r="A72" s="116">
        <v>72</v>
      </c>
      <c r="B72" s="123" t="s">
        <v>1835</v>
      </c>
      <c r="C72" s="128" t="s">
        <v>846</v>
      </c>
      <c r="D72" s="125" t="s">
        <v>1836</v>
      </c>
      <c r="E72" s="118">
        <v>0</v>
      </c>
      <c r="F72" s="117"/>
      <c r="G72" s="117"/>
      <c r="H72" s="120"/>
    </row>
    <row r="73" spans="1:8" ht="18" x14ac:dyDescent="0.25">
      <c r="A73" s="116">
        <v>73</v>
      </c>
      <c r="B73" s="123" t="s">
        <v>1844</v>
      </c>
      <c r="C73" s="128" t="s">
        <v>846</v>
      </c>
      <c r="D73" s="125" t="s">
        <v>1672</v>
      </c>
      <c r="E73" s="118">
        <v>27</v>
      </c>
      <c r="F73" s="117"/>
      <c r="G73" s="117"/>
      <c r="H73" s="120"/>
    </row>
    <row r="74" spans="1:8" ht="18" x14ac:dyDescent="0.25">
      <c r="A74" s="116">
        <v>74</v>
      </c>
      <c r="B74" s="123" t="s">
        <v>1845</v>
      </c>
      <c r="C74" s="128" t="s">
        <v>846</v>
      </c>
      <c r="D74" s="125" t="s">
        <v>842</v>
      </c>
      <c r="E74" s="118">
        <v>5</v>
      </c>
      <c r="F74" s="117"/>
      <c r="G74" s="117"/>
      <c r="H74" s="120"/>
    </row>
    <row r="75" spans="1:8" ht="18" x14ac:dyDescent="0.25">
      <c r="A75" s="116">
        <v>75</v>
      </c>
      <c r="B75" s="123" t="s">
        <v>2182</v>
      </c>
      <c r="C75" s="128" t="s">
        <v>2181</v>
      </c>
      <c r="D75" s="125" t="s">
        <v>2180</v>
      </c>
      <c r="E75" s="118">
        <v>4</v>
      </c>
      <c r="F75" s="117"/>
      <c r="G75" s="117"/>
      <c r="H75" s="120"/>
    </row>
    <row r="76" spans="1:8" ht="18" x14ac:dyDescent="0.25">
      <c r="A76" s="116">
        <v>76</v>
      </c>
      <c r="B76" s="129">
        <v>70060142</v>
      </c>
      <c r="C76" s="129" t="s">
        <v>2181</v>
      </c>
      <c r="D76" s="130" t="s">
        <v>2200</v>
      </c>
      <c r="E76" s="118">
        <v>1</v>
      </c>
      <c r="F76" s="117"/>
      <c r="G76" s="117"/>
      <c r="H76" s="120"/>
    </row>
    <row r="77" spans="1:8" ht="18" x14ac:dyDescent="0.25">
      <c r="A77" s="116">
        <v>77</v>
      </c>
      <c r="B77" s="129" t="s">
        <v>2204</v>
      </c>
      <c r="C77" s="129" t="s">
        <v>846</v>
      </c>
      <c r="D77" s="130" t="s">
        <v>2203</v>
      </c>
      <c r="E77" s="118">
        <v>6</v>
      </c>
      <c r="F77" s="117"/>
      <c r="G77" s="117"/>
      <c r="H77" s="120"/>
    </row>
    <row r="78" spans="1:8" ht="18" x14ac:dyDescent="0.25">
      <c r="A78" s="116">
        <v>78</v>
      </c>
      <c r="B78" s="129" t="s">
        <v>2206</v>
      </c>
      <c r="C78" s="129" t="s">
        <v>2207</v>
      </c>
      <c r="D78" s="130" t="s">
        <v>2205</v>
      </c>
      <c r="E78" s="118">
        <v>1</v>
      </c>
      <c r="F78" s="117"/>
      <c r="G78" s="117"/>
      <c r="H78" s="120"/>
    </row>
    <row r="79" spans="1:8" ht="18" x14ac:dyDescent="0.25">
      <c r="A79" s="116">
        <v>79</v>
      </c>
      <c r="B79" s="129" t="s">
        <v>2209</v>
      </c>
      <c r="C79" s="129" t="s">
        <v>846</v>
      </c>
      <c r="D79" s="130" t="s">
        <v>2208</v>
      </c>
      <c r="E79" s="118">
        <v>7</v>
      </c>
      <c r="F79" s="117"/>
      <c r="G79" s="117"/>
      <c r="H79" s="120"/>
    </row>
    <row r="80" spans="1:8" ht="18" x14ac:dyDescent="0.25">
      <c r="A80" s="116">
        <v>80</v>
      </c>
      <c r="B80" s="123" t="s">
        <v>2211</v>
      </c>
      <c r="C80" s="128" t="s">
        <v>846</v>
      </c>
      <c r="D80" s="125" t="s">
        <v>2210</v>
      </c>
      <c r="E80" s="118">
        <v>0</v>
      </c>
      <c r="F80" s="117"/>
      <c r="G80" s="117"/>
      <c r="H80" s="120"/>
    </row>
    <row r="81" spans="1:8" ht="18" x14ac:dyDescent="0.25">
      <c r="A81" s="116">
        <v>81</v>
      </c>
      <c r="B81" s="121" t="s">
        <v>2953</v>
      </c>
      <c r="C81" s="128" t="s">
        <v>846</v>
      </c>
      <c r="D81" s="125" t="s">
        <v>2954</v>
      </c>
      <c r="E81" s="118">
        <v>4</v>
      </c>
      <c r="F81" s="117"/>
      <c r="G81" s="117"/>
      <c r="H81" s="120"/>
    </row>
    <row r="82" spans="1:8" ht="18" x14ac:dyDescent="0.25">
      <c r="A82" s="116">
        <v>82</v>
      </c>
      <c r="B82" s="123" t="s">
        <v>2955</v>
      </c>
      <c r="C82" s="128" t="s">
        <v>846</v>
      </c>
      <c r="D82" s="125" t="s">
        <v>2956</v>
      </c>
      <c r="E82" s="118">
        <v>7</v>
      </c>
      <c r="F82" s="117"/>
      <c r="G82" s="117"/>
      <c r="H82" s="120"/>
    </row>
    <row r="83" spans="1:8" ht="18" x14ac:dyDescent="0.25">
      <c r="A83" s="116">
        <v>83</v>
      </c>
      <c r="B83" s="123" t="s">
        <v>2957</v>
      </c>
      <c r="C83" s="128" t="s">
        <v>846</v>
      </c>
      <c r="D83" s="125" t="s">
        <v>2958</v>
      </c>
      <c r="E83" s="118">
        <v>6</v>
      </c>
      <c r="F83" s="117"/>
      <c r="G83" s="117"/>
      <c r="H83" s="120"/>
    </row>
    <row r="84" spans="1:8" ht="18" x14ac:dyDescent="0.25">
      <c r="A84" s="116">
        <v>84</v>
      </c>
      <c r="B84" s="123" t="s">
        <v>2961</v>
      </c>
      <c r="C84" s="128" t="s">
        <v>846</v>
      </c>
      <c r="D84" s="125" t="s">
        <v>2962</v>
      </c>
      <c r="E84" s="118">
        <v>2</v>
      </c>
      <c r="F84" s="117"/>
      <c r="G84" s="117"/>
      <c r="H84" s="120"/>
    </row>
    <row r="85" spans="1:8" ht="18" x14ac:dyDescent="0.25">
      <c r="A85" s="116">
        <v>85</v>
      </c>
      <c r="B85" s="123" t="s">
        <v>2963</v>
      </c>
      <c r="C85" s="128" t="s">
        <v>846</v>
      </c>
      <c r="D85" s="125" t="s">
        <v>2964</v>
      </c>
      <c r="E85" s="118">
        <v>4</v>
      </c>
      <c r="F85" s="117"/>
      <c r="G85" s="117"/>
      <c r="H85" s="120"/>
    </row>
    <row r="86" spans="1:8" ht="18" x14ac:dyDescent="0.25">
      <c r="A86" s="116">
        <v>86</v>
      </c>
      <c r="B86" s="123" t="s">
        <v>2965</v>
      </c>
      <c r="C86" s="128" t="s">
        <v>846</v>
      </c>
      <c r="D86" s="125" t="s">
        <v>2966</v>
      </c>
      <c r="E86" s="118">
        <v>3</v>
      </c>
      <c r="F86" s="117"/>
      <c r="G86" s="117"/>
      <c r="H86" s="120"/>
    </row>
    <row r="87" spans="1:8" ht="18" x14ac:dyDescent="0.25">
      <c r="A87" s="116">
        <v>87</v>
      </c>
      <c r="B87" s="123" t="s">
        <v>2968</v>
      </c>
      <c r="C87" s="128" t="s">
        <v>846</v>
      </c>
      <c r="D87" s="125" t="s">
        <v>2967</v>
      </c>
      <c r="E87" s="118">
        <v>2</v>
      </c>
      <c r="F87" s="117"/>
      <c r="G87" s="117"/>
      <c r="H87" s="120"/>
    </row>
    <row r="88" spans="1:8" ht="18" x14ac:dyDescent="0.25">
      <c r="A88" s="116">
        <v>88</v>
      </c>
      <c r="B88" s="123" t="s">
        <v>2977</v>
      </c>
      <c r="C88" s="128" t="s">
        <v>846</v>
      </c>
      <c r="D88" s="125" t="s">
        <v>2978</v>
      </c>
      <c r="E88" s="118">
        <v>5</v>
      </c>
      <c r="F88" s="117"/>
      <c r="G88" s="117"/>
      <c r="H88" s="120"/>
    </row>
    <row r="89" spans="1:8" ht="18" x14ac:dyDescent="0.25">
      <c r="A89" s="116">
        <v>89</v>
      </c>
      <c r="B89" s="123" t="s">
        <v>2980</v>
      </c>
      <c r="C89" s="128" t="s">
        <v>846</v>
      </c>
      <c r="D89" s="125" t="s">
        <v>2979</v>
      </c>
      <c r="E89" s="118">
        <v>4</v>
      </c>
      <c r="F89" s="117"/>
      <c r="G89" s="117"/>
      <c r="H89" s="120"/>
    </row>
    <row r="90" spans="1:8" ht="18" x14ac:dyDescent="0.25">
      <c r="A90" s="116">
        <v>90</v>
      </c>
      <c r="B90" s="123" t="s">
        <v>2960</v>
      </c>
      <c r="C90" s="128" t="s">
        <v>846</v>
      </c>
      <c r="D90" s="125" t="s">
        <v>2959</v>
      </c>
      <c r="E90" s="118">
        <v>5</v>
      </c>
      <c r="F90" s="117"/>
      <c r="G90" s="117"/>
      <c r="H90" s="120"/>
    </row>
    <row r="91" spans="1:8" ht="18" x14ac:dyDescent="0.25">
      <c r="A91" s="116">
        <v>91</v>
      </c>
      <c r="B91" s="123" t="s">
        <v>2212</v>
      </c>
      <c r="C91" s="125" t="s">
        <v>846</v>
      </c>
      <c r="D91" s="125" t="s">
        <v>2494</v>
      </c>
      <c r="E91" s="118">
        <v>2</v>
      </c>
      <c r="F91" s="117"/>
      <c r="G91" s="117"/>
      <c r="H91" s="120"/>
    </row>
    <row r="92" spans="1:8" ht="18" x14ac:dyDescent="0.25">
      <c r="A92" s="116">
        <v>92</v>
      </c>
      <c r="B92" s="123" t="s">
        <v>3026</v>
      </c>
      <c r="C92" s="125" t="s">
        <v>2207</v>
      </c>
      <c r="D92" s="125" t="s">
        <v>3025</v>
      </c>
      <c r="E92" s="118">
        <v>6</v>
      </c>
      <c r="F92" s="117"/>
      <c r="G92" s="117"/>
      <c r="H92" s="120"/>
    </row>
    <row r="93" spans="1:8" ht="18" x14ac:dyDescent="0.25">
      <c r="A93" s="116">
        <v>93</v>
      </c>
      <c r="B93" s="123" t="s">
        <v>3095</v>
      </c>
      <c r="C93" s="125" t="s">
        <v>846</v>
      </c>
      <c r="D93" s="125" t="s">
        <v>3094</v>
      </c>
      <c r="E93" s="118">
        <v>1</v>
      </c>
      <c r="F93" s="117"/>
      <c r="G93" s="117"/>
      <c r="H93" s="120"/>
    </row>
    <row r="94" spans="1:8" ht="18" x14ac:dyDescent="0.25">
      <c r="A94" s="116">
        <v>94</v>
      </c>
      <c r="B94" s="123" t="s">
        <v>3097</v>
      </c>
      <c r="C94" s="125" t="s">
        <v>846</v>
      </c>
      <c r="D94" s="125" t="s">
        <v>3096</v>
      </c>
      <c r="E94" s="118">
        <v>4</v>
      </c>
      <c r="F94" s="117"/>
      <c r="G94" s="117"/>
      <c r="H94" s="120"/>
    </row>
    <row r="95" spans="1:8" ht="18" x14ac:dyDescent="0.25">
      <c r="A95" s="116">
        <v>95</v>
      </c>
      <c r="B95" s="123" t="s">
        <v>3099</v>
      </c>
      <c r="C95" s="125" t="s">
        <v>846</v>
      </c>
      <c r="D95" s="125" t="s">
        <v>3098</v>
      </c>
      <c r="E95" s="118">
        <v>1</v>
      </c>
      <c r="F95" s="117"/>
      <c r="G95" s="117"/>
      <c r="H95" s="120"/>
    </row>
    <row r="96" spans="1:8" ht="18" x14ac:dyDescent="0.25">
      <c r="A96" s="116">
        <v>96</v>
      </c>
      <c r="B96" s="123" t="s">
        <v>3926</v>
      </c>
      <c r="C96" s="123" t="s">
        <v>846</v>
      </c>
      <c r="D96" s="131" t="s">
        <v>3927</v>
      </c>
      <c r="E96" s="118">
        <v>2</v>
      </c>
      <c r="F96" s="117"/>
      <c r="G96" s="117"/>
      <c r="H96" s="120"/>
    </row>
    <row r="97" spans="1:8" ht="18" x14ac:dyDescent="0.25">
      <c r="A97" s="116">
        <v>97</v>
      </c>
      <c r="B97" s="123" t="s">
        <v>3928</v>
      </c>
      <c r="C97" s="123" t="s">
        <v>846</v>
      </c>
      <c r="D97" s="123" t="s">
        <v>3929</v>
      </c>
      <c r="E97" s="118">
        <v>5</v>
      </c>
      <c r="F97" s="117"/>
      <c r="G97" s="117"/>
      <c r="H97" s="120"/>
    </row>
    <row r="98" spans="1:8" ht="18" x14ac:dyDescent="0.25">
      <c r="A98" s="116">
        <v>98</v>
      </c>
      <c r="B98" s="131" t="s">
        <v>3930</v>
      </c>
      <c r="C98" s="131" t="s">
        <v>964</v>
      </c>
      <c r="D98" s="131" t="s">
        <v>3931</v>
      </c>
      <c r="E98" s="118">
        <v>2</v>
      </c>
      <c r="F98" s="117"/>
      <c r="G98" s="117"/>
      <c r="H98" s="120"/>
    </row>
    <row r="99" spans="1:8" ht="18" x14ac:dyDescent="0.25">
      <c r="A99" s="116">
        <v>99</v>
      </c>
      <c r="B99" s="131" t="s">
        <v>3932</v>
      </c>
      <c r="C99" s="131" t="s">
        <v>846</v>
      </c>
      <c r="D99" s="131" t="s">
        <v>3933</v>
      </c>
      <c r="E99" s="118">
        <v>3</v>
      </c>
      <c r="F99" s="117"/>
      <c r="G99" s="117"/>
      <c r="H99" s="120"/>
    </row>
    <row r="100" spans="1:8" ht="18" x14ac:dyDescent="0.25">
      <c r="A100" s="116">
        <v>100</v>
      </c>
      <c r="B100" s="131" t="s">
        <v>4574</v>
      </c>
      <c r="C100" s="131" t="s">
        <v>846</v>
      </c>
      <c r="D100" s="125" t="s">
        <v>4573</v>
      </c>
      <c r="E100" s="118">
        <v>5</v>
      </c>
      <c r="F100" s="117"/>
      <c r="G100" s="117"/>
      <c r="H100" s="120"/>
    </row>
    <row r="101" spans="1:8" ht="38.25" customHeight="1" x14ac:dyDescent="0.25">
      <c r="A101" s="116">
        <v>103</v>
      </c>
      <c r="B101" s="170" t="s">
        <v>965</v>
      </c>
      <c r="C101" s="170"/>
      <c r="D101" s="170"/>
      <c r="E101" s="170"/>
      <c r="F101" s="117"/>
      <c r="G101" s="117"/>
      <c r="H101" s="120"/>
    </row>
    <row r="102" spans="1:8" ht="18" x14ac:dyDescent="0.25">
      <c r="A102" s="116">
        <v>105</v>
      </c>
      <c r="B102" s="132" t="s">
        <v>867</v>
      </c>
      <c r="C102" s="132" t="s">
        <v>868</v>
      </c>
      <c r="D102" s="122" t="s">
        <v>972</v>
      </c>
      <c r="E102" s="118">
        <v>0</v>
      </c>
      <c r="F102" s="117"/>
      <c r="G102" s="117"/>
      <c r="H102" s="120">
        <v>16.310760000000002</v>
      </c>
    </row>
    <row r="103" spans="1:8" ht="18" x14ac:dyDescent="0.25">
      <c r="A103" s="116">
        <v>106</v>
      </c>
      <c r="B103" s="121" t="s">
        <v>869</v>
      </c>
      <c r="C103" s="132" t="s">
        <v>868</v>
      </c>
      <c r="D103" s="119" t="s">
        <v>2780</v>
      </c>
      <c r="E103" s="118">
        <v>15</v>
      </c>
      <c r="F103" s="117"/>
      <c r="G103" s="117"/>
      <c r="H103" s="120">
        <v>16.310760000000002</v>
      </c>
    </row>
    <row r="104" spans="1:8" ht="18" x14ac:dyDescent="0.25">
      <c r="A104" s="116">
        <v>107</v>
      </c>
      <c r="B104" s="118" t="s">
        <v>1033</v>
      </c>
      <c r="C104" s="132" t="s">
        <v>868</v>
      </c>
      <c r="D104" s="119" t="s">
        <v>870</v>
      </c>
      <c r="E104" s="118">
        <v>15</v>
      </c>
      <c r="F104" s="117"/>
      <c r="G104" s="117"/>
      <c r="H104" s="120">
        <v>46.682519999999997</v>
      </c>
    </row>
    <row r="105" spans="1:8" ht="18" x14ac:dyDescent="0.25">
      <c r="A105" s="116">
        <v>108</v>
      </c>
      <c r="B105" s="118" t="s">
        <v>1034</v>
      </c>
      <c r="C105" s="132" t="s">
        <v>868</v>
      </c>
      <c r="D105" s="119" t="s">
        <v>871</v>
      </c>
      <c r="E105" s="118">
        <v>19</v>
      </c>
      <c r="F105" s="117"/>
      <c r="G105" s="117"/>
      <c r="H105" s="120">
        <v>10.5</v>
      </c>
    </row>
    <row r="106" spans="1:8" ht="18" x14ac:dyDescent="0.25">
      <c r="A106" s="116">
        <v>109</v>
      </c>
      <c r="B106" s="118" t="s">
        <v>1035</v>
      </c>
      <c r="C106" s="132" t="s">
        <v>868</v>
      </c>
      <c r="D106" s="119" t="s">
        <v>973</v>
      </c>
      <c r="E106" s="118">
        <v>22</v>
      </c>
      <c r="F106" s="117"/>
      <c r="G106" s="117"/>
      <c r="H106" s="120">
        <v>10.5</v>
      </c>
    </row>
    <row r="107" spans="1:8" ht="18" x14ac:dyDescent="0.25">
      <c r="A107" s="116">
        <v>110</v>
      </c>
      <c r="B107" s="118" t="s">
        <v>1036</v>
      </c>
      <c r="C107" s="132" t="s">
        <v>868</v>
      </c>
      <c r="D107" s="119" t="s">
        <v>974</v>
      </c>
      <c r="E107" s="118">
        <v>8</v>
      </c>
      <c r="F107" s="117"/>
      <c r="G107" s="133"/>
      <c r="H107" s="120">
        <v>19.122960000000003</v>
      </c>
    </row>
    <row r="108" spans="1:8" ht="18" x14ac:dyDescent="0.25">
      <c r="A108" s="116">
        <v>111</v>
      </c>
      <c r="B108" s="118" t="s">
        <v>1037</v>
      </c>
      <c r="C108" s="132" t="s">
        <v>868</v>
      </c>
      <c r="D108" s="119" t="s">
        <v>975</v>
      </c>
      <c r="E108" s="118">
        <v>5</v>
      </c>
      <c r="F108" s="117"/>
      <c r="G108" s="117"/>
      <c r="H108" s="120">
        <v>16</v>
      </c>
    </row>
    <row r="109" spans="1:8" ht="18" x14ac:dyDescent="0.25">
      <c r="A109" s="116">
        <v>112</v>
      </c>
      <c r="B109" s="118" t="s">
        <v>1038</v>
      </c>
      <c r="C109" s="132" t="s">
        <v>868</v>
      </c>
      <c r="D109" s="119" t="s">
        <v>989</v>
      </c>
      <c r="E109" s="118">
        <v>7</v>
      </c>
      <c r="F109" s="117"/>
      <c r="G109" s="117"/>
      <c r="H109" s="120">
        <v>17.998080000000002</v>
      </c>
    </row>
    <row r="110" spans="1:8" ht="18" x14ac:dyDescent="0.25">
      <c r="A110" s="116">
        <v>113</v>
      </c>
      <c r="B110" s="118" t="s">
        <v>1039</v>
      </c>
      <c r="C110" s="132" t="s">
        <v>868</v>
      </c>
      <c r="D110" s="119" t="s">
        <v>976</v>
      </c>
      <c r="E110" s="118">
        <v>19</v>
      </c>
      <c r="F110" s="117"/>
      <c r="G110" s="117"/>
      <c r="H110" s="120">
        <v>16.310760000000002</v>
      </c>
    </row>
    <row r="111" spans="1:8" ht="18" x14ac:dyDescent="0.25">
      <c r="A111" s="116">
        <v>114</v>
      </c>
      <c r="B111" s="118" t="s">
        <v>1040</v>
      </c>
      <c r="C111" s="132" t="s">
        <v>868</v>
      </c>
      <c r="D111" s="119" t="s">
        <v>872</v>
      </c>
      <c r="E111" s="118">
        <v>9</v>
      </c>
      <c r="F111" s="117"/>
      <c r="G111" s="117"/>
      <c r="H111" s="120">
        <v>26.434680000000004</v>
      </c>
    </row>
    <row r="112" spans="1:8" ht="18" x14ac:dyDescent="0.25">
      <c r="A112" s="116">
        <v>115</v>
      </c>
      <c r="B112" s="118" t="s">
        <v>1041</v>
      </c>
      <c r="C112" s="132" t="s">
        <v>868</v>
      </c>
      <c r="D112" s="119" t="s">
        <v>873</v>
      </c>
      <c r="E112" s="118">
        <v>2</v>
      </c>
      <c r="F112" s="117"/>
      <c r="G112" s="117"/>
      <c r="H112" s="120">
        <v>16.873200000000001</v>
      </c>
    </row>
    <row r="113" spans="1:8" ht="18" x14ac:dyDescent="0.25">
      <c r="A113" s="116">
        <v>116</v>
      </c>
      <c r="B113" s="118" t="s">
        <v>1042</v>
      </c>
      <c r="C113" s="132" t="s">
        <v>868</v>
      </c>
      <c r="D113" s="122" t="s">
        <v>874</v>
      </c>
      <c r="E113" s="118">
        <v>3</v>
      </c>
      <c r="F113" s="117"/>
      <c r="G113" s="117"/>
      <c r="H113" s="120">
        <v>64.118160000000003</v>
      </c>
    </row>
    <row r="114" spans="1:8" ht="18" x14ac:dyDescent="0.25">
      <c r="A114" s="116">
        <v>117</v>
      </c>
      <c r="B114" s="118" t="s">
        <v>1043</v>
      </c>
      <c r="C114" s="132" t="s">
        <v>868</v>
      </c>
      <c r="D114" s="119" t="s">
        <v>977</v>
      </c>
      <c r="E114" s="118">
        <v>13</v>
      </c>
      <c r="F114" s="117"/>
      <c r="G114" s="117"/>
      <c r="H114" s="120">
        <v>26.434680000000004</v>
      </c>
    </row>
    <row r="115" spans="1:8" ht="18" x14ac:dyDescent="0.25">
      <c r="A115" s="116">
        <v>118</v>
      </c>
      <c r="B115" s="121" t="s">
        <v>1283</v>
      </c>
      <c r="C115" s="132" t="s">
        <v>868</v>
      </c>
      <c r="D115" s="119" t="s">
        <v>994</v>
      </c>
      <c r="E115" s="118">
        <v>52</v>
      </c>
      <c r="F115" s="117"/>
      <c r="G115" s="117"/>
      <c r="H115" s="120">
        <v>16.305600000000002</v>
      </c>
    </row>
    <row r="116" spans="1:8" ht="18" x14ac:dyDescent="0.25">
      <c r="A116" s="116">
        <v>119</v>
      </c>
      <c r="B116" s="121" t="s">
        <v>1710</v>
      </c>
      <c r="C116" s="132" t="s">
        <v>868</v>
      </c>
      <c r="D116" s="119" t="s">
        <v>1000</v>
      </c>
      <c r="E116" s="118">
        <v>12</v>
      </c>
      <c r="F116" s="117"/>
      <c r="G116" s="117"/>
      <c r="H116" s="120">
        <v>27</v>
      </c>
    </row>
    <row r="117" spans="1:8" ht="18" x14ac:dyDescent="0.25">
      <c r="A117" s="116">
        <v>120</v>
      </c>
      <c r="B117" s="118" t="s">
        <v>1136</v>
      </c>
      <c r="C117" s="132" t="s">
        <v>868</v>
      </c>
      <c r="D117" s="119" t="s">
        <v>1012</v>
      </c>
      <c r="E117" s="118">
        <v>6</v>
      </c>
      <c r="F117" s="117"/>
      <c r="G117" s="117"/>
      <c r="H117" s="120">
        <v>29.3</v>
      </c>
    </row>
    <row r="118" spans="1:8" ht="18" x14ac:dyDescent="0.25">
      <c r="A118" s="116">
        <v>121</v>
      </c>
      <c r="B118" s="118" t="s">
        <v>1137</v>
      </c>
      <c r="C118" s="132" t="s">
        <v>868</v>
      </c>
      <c r="D118" s="119" t="s">
        <v>1334</v>
      </c>
      <c r="E118" s="118">
        <v>20</v>
      </c>
      <c r="F118" s="117"/>
      <c r="G118" s="117"/>
      <c r="H118" s="120">
        <v>10.5</v>
      </c>
    </row>
    <row r="119" spans="1:8" ht="18" x14ac:dyDescent="0.25">
      <c r="A119" s="116">
        <v>122</v>
      </c>
      <c r="B119" s="118" t="s">
        <v>1138</v>
      </c>
      <c r="C119" s="132" t="s">
        <v>868</v>
      </c>
      <c r="D119" s="119" t="s">
        <v>1335</v>
      </c>
      <c r="E119" s="118">
        <v>36</v>
      </c>
      <c r="F119" s="117"/>
      <c r="G119" s="117"/>
      <c r="H119" s="120">
        <v>10.5</v>
      </c>
    </row>
    <row r="120" spans="1:8" ht="18" x14ac:dyDescent="0.25">
      <c r="A120" s="116">
        <v>123</v>
      </c>
      <c r="B120" s="118" t="s">
        <v>1139</v>
      </c>
      <c r="C120" s="132" t="s">
        <v>868</v>
      </c>
      <c r="D120" s="119" t="s">
        <v>1088</v>
      </c>
      <c r="E120" s="118">
        <v>7</v>
      </c>
      <c r="F120" s="117"/>
      <c r="G120" s="117"/>
      <c r="H120" s="120">
        <v>16.3</v>
      </c>
    </row>
    <row r="121" spans="1:8" ht="18" x14ac:dyDescent="0.25">
      <c r="A121" s="116">
        <v>124</v>
      </c>
      <c r="B121" s="126" t="s">
        <v>1150</v>
      </c>
      <c r="C121" s="134" t="s">
        <v>868</v>
      </c>
      <c r="D121" s="125" t="s">
        <v>1151</v>
      </c>
      <c r="E121" s="118">
        <v>8</v>
      </c>
      <c r="F121" s="117"/>
      <c r="G121" s="117"/>
      <c r="H121" s="120">
        <v>29.3</v>
      </c>
    </row>
    <row r="122" spans="1:8" ht="18" x14ac:dyDescent="0.25">
      <c r="A122" s="116">
        <v>125</v>
      </c>
      <c r="B122" s="126" t="s">
        <v>1165</v>
      </c>
      <c r="C122" s="134" t="s">
        <v>868</v>
      </c>
      <c r="D122" s="125" t="s">
        <v>1166</v>
      </c>
      <c r="E122" s="118">
        <v>7</v>
      </c>
      <c r="F122" s="117"/>
      <c r="G122" s="117"/>
      <c r="H122" s="120">
        <v>24.8</v>
      </c>
    </row>
    <row r="123" spans="1:8" ht="18" x14ac:dyDescent="0.25">
      <c r="A123" s="116">
        <v>126</v>
      </c>
      <c r="B123" s="126" t="s">
        <v>1172</v>
      </c>
      <c r="C123" s="134" t="s">
        <v>868</v>
      </c>
      <c r="D123" s="125" t="s">
        <v>1173</v>
      </c>
      <c r="E123" s="118">
        <v>5</v>
      </c>
      <c r="F123" s="117"/>
      <c r="G123" s="117"/>
      <c r="H123" s="120">
        <v>24.8</v>
      </c>
    </row>
    <row r="124" spans="1:8" ht="18" x14ac:dyDescent="0.25">
      <c r="A124" s="116">
        <v>127</v>
      </c>
      <c r="B124" s="128" t="s">
        <v>1806</v>
      </c>
      <c r="C124" s="134" t="s">
        <v>868</v>
      </c>
      <c r="D124" s="125" t="s">
        <v>3281</v>
      </c>
      <c r="E124" s="118">
        <v>5</v>
      </c>
      <c r="F124" s="117"/>
      <c r="G124" s="117"/>
      <c r="H124" s="120">
        <v>27</v>
      </c>
    </row>
    <row r="125" spans="1:8" ht="18" x14ac:dyDescent="0.25">
      <c r="A125" s="116">
        <v>128</v>
      </c>
      <c r="B125" s="126" t="s">
        <v>1215</v>
      </c>
      <c r="C125" s="134" t="s">
        <v>868</v>
      </c>
      <c r="D125" s="125" t="s">
        <v>1216</v>
      </c>
      <c r="E125" s="118">
        <v>2</v>
      </c>
      <c r="F125" s="117"/>
      <c r="G125" s="117"/>
      <c r="H125" s="120">
        <v>57.37</v>
      </c>
    </row>
    <row r="126" spans="1:8" ht="18" x14ac:dyDescent="0.25">
      <c r="A126" s="116">
        <v>129</v>
      </c>
      <c r="B126" s="126" t="s">
        <v>1249</v>
      </c>
      <c r="C126" s="134" t="s">
        <v>868</v>
      </c>
      <c r="D126" s="125" t="s">
        <v>1250</v>
      </c>
      <c r="E126" s="118">
        <v>3</v>
      </c>
      <c r="F126" s="117"/>
      <c r="G126" s="117"/>
      <c r="H126" s="120">
        <v>26.44</v>
      </c>
    </row>
    <row r="127" spans="1:8" ht="18" x14ac:dyDescent="0.25">
      <c r="A127" s="116">
        <v>130</v>
      </c>
      <c r="B127" s="128" t="s">
        <v>4113</v>
      </c>
      <c r="C127" s="134" t="s">
        <v>868</v>
      </c>
      <c r="D127" s="125" t="s">
        <v>1252</v>
      </c>
      <c r="E127" s="118">
        <v>2</v>
      </c>
      <c r="F127" s="117"/>
      <c r="G127" s="117"/>
      <c r="H127" s="120">
        <v>47.3</v>
      </c>
    </row>
    <row r="128" spans="1:8" ht="18" x14ac:dyDescent="0.25">
      <c r="A128" s="116">
        <v>131</v>
      </c>
      <c r="B128" s="126" t="s">
        <v>1257</v>
      </c>
      <c r="C128" s="134" t="s">
        <v>868</v>
      </c>
      <c r="D128" s="125" t="s">
        <v>1258</v>
      </c>
      <c r="E128" s="118">
        <v>4</v>
      </c>
      <c r="F128" s="117"/>
      <c r="G128" s="117"/>
      <c r="H128" s="120">
        <v>26.44</v>
      </c>
    </row>
    <row r="129" spans="1:8" ht="18" x14ac:dyDescent="0.25">
      <c r="A129" s="116">
        <v>132</v>
      </c>
      <c r="B129" s="126" t="s">
        <v>3461</v>
      </c>
      <c r="C129" s="134" t="s">
        <v>868</v>
      </c>
      <c r="D129" s="125" t="s">
        <v>1266</v>
      </c>
      <c r="E129" s="118">
        <v>2</v>
      </c>
      <c r="F129" s="117"/>
      <c r="G129" s="117"/>
      <c r="H129" s="120">
        <v>67.5</v>
      </c>
    </row>
    <row r="130" spans="1:8" ht="18" x14ac:dyDescent="0.25">
      <c r="A130" s="116">
        <v>133</v>
      </c>
      <c r="B130" s="126" t="s">
        <v>1284</v>
      </c>
      <c r="C130" s="134" t="s">
        <v>868</v>
      </c>
      <c r="D130" s="125" t="s">
        <v>1285</v>
      </c>
      <c r="E130" s="118">
        <v>2</v>
      </c>
      <c r="F130" s="117"/>
      <c r="G130" s="117"/>
      <c r="H130" s="120">
        <v>26.4</v>
      </c>
    </row>
    <row r="131" spans="1:8" x14ac:dyDescent="0.25">
      <c r="A131" s="116">
        <v>134</v>
      </c>
      <c r="B131" s="126" t="s">
        <v>1289</v>
      </c>
      <c r="C131" s="134" t="s">
        <v>868</v>
      </c>
      <c r="D131" s="125" t="s">
        <v>1290</v>
      </c>
      <c r="E131" s="135">
        <v>6</v>
      </c>
      <c r="F131" s="117"/>
      <c r="G131" s="117"/>
      <c r="H131" s="136">
        <v>16</v>
      </c>
    </row>
    <row r="132" spans="1:8" ht="18" x14ac:dyDescent="0.25">
      <c r="A132" s="116">
        <v>135</v>
      </c>
      <c r="B132" s="126" t="s">
        <v>1592</v>
      </c>
      <c r="C132" s="134" t="s">
        <v>868</v>
      </c>
      <c r="D132" s="125" t="s">
        <v>1593</v>
      </c>
      <c r="E132" s="118">
        <v>17</v>
      </c>
      <c r="F132" s="117"/>
      <c r="G132" s="117"/>
      <c r="H132" s="120"/>
    </row>
    <row r="133" spans="1:8" ht="18" x14ac:dyDescent="0.25">
      <c r="A133" s="116">
        <v>136</v>
      </c>
      <c r="B133" s="128" t="s">
        <v>1696</v>
      </c>
      <c r="C133" s="134" t="s">
        <v>868</v>
      </c>
      <c r="D133" s="125" t="s">
        <v>1697</v>
      </c>
      <c r="E133" s="118">
        <v>11</v>
      </c>
      <c r="F133" s="117"/>
      <c r="G133" s="117"/>
      <c r="H133" s="120"/>
    </row>
    <row r="134" spans="1:8" ht="18" x14ac:dyDescent="0.25">
      <c r="A134" s="116">
        <v>137</v>
      </c>
      <c r="B134" s="128" t="s">
        <v>1698</v>
      </c>
      <c r="C134" s="134" t="s">
        <v>868</v>
      </c>
      <c r="D134" s="125" t="s">
        <v>1699</v>
      </c>
      <c r="E134" s="118">
        <v>4</v>
      </c>
      <c r="F134" s="117"/>
      <c r="G134" s="117"/>
      <c r="H134" s="120"/>
    </row>
    <row r="135" spans="1:8" ht="18" x14ac:dyDescent="0.25">
      <c r="A135" s="116">
        <v>138</v>
      </c>
      <c r="B135" s="128" t="s">
        <v>1706</v>
      </c>
      <c r="C135" s="134" t="s">
        <v>868</v>
      </c>
      <c r="D135" s="125" t="s">
        <v>1707</v>
      </c>
      <c r="E135" s="118">
        <v>12</v>
      </c>
      <c r="F135" s="117"/>
      <c r="G135" s="117"/>
      <c r="H135" s="120"/>
    </row>
    <row r="136" spans="1:8" ht="18" x14ac:dyDescent="0.25">
      <c r="A136" s="116">
        <v>139</v>
      </c>
      <c r="B136" s="128" t="s">
        <v>2195</v>
      </c>
      <c r="C136" s="134" t="s">
        <v>2196</v>
      </c>
      <c r="D136" s="125" t="s">
        <v>2194</v>
      </c>
      <c r="E136" s="118">
        <v>5</v>
      </c>
      <c r="F136" s="117"/>
      <c r="G136" s="117"/>
      <c r="H136" s="120"/>
    </row>
    <row r="137" spans="1:8" ht="18" x14ac:dyDescent="0.25">
      <c r="A137" s="116">
        <v>140</v>
      </c>
      <c r="B137" s="128" t="s">
        <v>3101</v>
      </c>
      <c r="C137" s="134" t="s">
        <v>2196</v>
      </c>
      <c r="D137" s="125" t="s">
        <v>3100</v>
      </c>
      <c r="E137" s="118">
        <v>1</v>
      </c>
      <c r="F137" s="117"/>
      <c r="G137" s="117"/>
      <c r="H137" s="120"/>
    </row>
    <row r="138" spans="1:8" ht="18" x14ac:dyDescent="0.25">
      <c r="A138" s="116">
        <v>141</v>
      </c>
      <c r="B138" s="128" t="s">
        <v>3543</v>
      </c>
      <c r="C138" s="134" t="s">
        <v>2196</v>
      </c>
      <c r="D138" s="125" t="s">
        <v>3542</v>
      </c>
      <c r="E138" s="118">
        <v>6</v>
      </c>
      <c r="F138" s="117"/>
      <c r="G138" s="117"/>
      <c r="H138" s="120"/>
    </row>
    <row r="139" spans="1:8" ht="18" x14ac:dyDescent="0.25">
      <c r="A139" s="116">
        <v>142</v>
      </c>
      <c r="B139" s="128" t="s">
        <v>3809</v>
      </c>
      <c r="C139" s="134" t="s">
        <v>868</v>
      </c>
      <c r="D139" s="125" t="s">
        <v>3810</v>
      </c>
      <c r="E139" s="118">
        <v>2</v>
      </c>
      <c r="F139" s="117"/>
      <c r="G139" s="117"/>
      <c r="H139" s="120"/>
    </row>
    <row r="140" spans="1:8" ht="18" x14ac:dyDescent="0.25">
      <c r="A140" s="116">
        <v>143</v>
      </c>
      <c r="B140" s="128" t="s">
        <v>3937</v>
      </c>
      <c r="C140" s="128" t="s">
        <v>868</v>
      </c>
      <c r="D140" s="128" t="s">
        <v>3938</v>
      </c>
      <c r="E140" s="118">
        <v>3</v>
      </c>
      <c r="F140" s="117"/>
      <c r="G140" s="117"/>
      <c r="H140" s="120"/>
    </row>
    <row r="141" spans="1:8" ht="18" x14ac:dyDescent="0.25">
      <c r="A141" s="116">
        <v>144</v>
      </c>
      <c r="B141" s="117" t="s">
        <v>4376</v>
      </c>
      <c r="C141" s="134"/>
      <c r="D141" s="125"/>
      <c r="E141" s="118"/>
      <c r="F141" s="117"/>
      <c r="G141" s="117"/>
      <c r="H141" s="120"/>
    </row>
    <row r="142" spans="1:8" ht="18" x14ac:dyDescent="0.25">
      <c r="A142" s="116">
        <v>145</v>
      </c>
      <c r="B142" s="137" t="s">
        <v>4576</v>
      </c>
      <c r="C142" s="128" t="s">
        <v>868</v>
      </c>
      <c r="D142" s="125" t="s">
        <v>4575</v>
      </c>
      <c r="E142" s="118">
        <v>2</v>
      </c>
      <c r="F142" s="117"/>
      <c r="G142" s="117"/>
      <c r="H142" s="120"/>
    </row>
    <row r="143" spans="1:8" ht="39.75" customHeight="1" x14ac:dyDescent="0.25">
      <c r="A143" s="116">
        <v>149</v>
      </c>
      <c r="B143" s="114" t="s">
        <v>966</v>
      </c>
      <c r="C143" s="114"/>
      <c r="D143" s="114"/>
      <c r="E143" s="114"/>
      <c r="F143" s="117"/>
      <c r="G143" s="117"/>
      <c r="H143" s="120"/>
    </row>
    <row r="144" spans="1:8" ht="18" x14ac:dyDescent="0.25">
      <c r="A144" s="116">
        <v>151</v>
      </c>
      <c r="B144" s="118" t="s">
        <v>875</v>
      </c>
      <c r="C144" s="118" t="s">
        <v>876</v>
      </c>
      <c r="D144" s="118" t="s">
        <v>877</v>
      </c>
      <c r="E144" s="118">
        <v>5</v>
      </c>
      <c r="F144" s="117"/>
      <c r="G144" s="117"/>
      <c r="H144" s="120">
        <v>51.744480000000003</v>
      </c>
    </row>
    <row r="145" spans="1:8" ht="18" x14ac:dyDescent="0.25">
      <c r="A145" s="116">
        <v>152</v>
      </c>
      <c r="B145" s="118" t="s">
        <v>878</v>
      </c>
      <c r="C145" s="118" t="s">
        <v>876</v>
      </c>
      <c r="D145" s="118" t="s">
        <v>968</v>
      </c>
      <c r="E145" s="118">
        <v>0</v>
      </c>
      <c r="F145" s="117"/>
      <c r="G145" s="117"/>
      <c r="H145" s="120">
        <v>53.994240000000005</v>
      </c>
    </row>
    <row r="146" spans="1:8" ht="18" x14ac:dyDescent="0.25">
      <c r="A146" s="116">
        <v>153</v>
      </c>
      <c r="B146" s="118" t="s">
        <v>879</v>
      </c>
      <c r="C146" s="118" t="s">
        <v>876</v>
      </c>
      <c r="D146" s="118" t="s">
        <v>969</v>
      </c>
      <c r="E146" s="118">
        <v>0</v>
      </c>
      <c r="F146" s="117"/>
      <c r="G146" s="117"/>
      <c r="H146" s="120">
        <v>67.492800000000003</v>
      </c>
    </row>
    <row r="147" spans="1:8" ht="18" x14ac:dyDescent="0.25">
      <c r="A147" s="116">
        <v>156</v>
      </c>
      <c r="B147" s="138" t="s">
        <v>518</v>
      </c>
      <c r="C147" s="138"/>
      <c r="D147" s="138"/>
      <c r="E147" s="138"/>
      <c r="F147" s="117"/>
      <c r="G147" s="117"/>
      <c r="H147" s="120"/>
    </row>
    <row r="148" spans="1:8" ht="18" x14ac:dyDescent="0.25">
      <c r="A148" s="116">
        <v>159</v>
      </c>
      <c r="B148" s="118" t="s">
        <v>880</v>
      </c>
      <c r="C148" s="118" t="s">
        <v>881</v>
      </c>
      <c r="D148" s="118" t="s">
        <v>978</v>
      </c>
      <c r="E148" s="118">
        <v>36</v>
      </c>
      <c r="F148" s="117"/>
      <c r="G148" s="117"/>
      <c r="H148" s="120">
        <v>11.5</v>
      </c>
    </row>
    <row r="149" spans="1:8" ht="18" x14ac:dyDescent="0.25">
      <c r="A149" s="116">
        <v>160</v>
      </c>
      <c r="B149" s="118" t="s">
        <v>882</v>
      </c>
      <c r="C149" s="118" t="s">
        <v>881</v>
      </c>
      <c r="D149" s="118" t="s">
        <v>979</v>
      </c>
      <c r="E149" s="118">
        <v>29</v>
      </c>
      <c r="F149" s="117"/>
      <c r="G149" s="117"/>
      <c r="H149" s="120">
        <v>11.5</v>
      </c>
    </row>
    <row r="150" spans="1:8" ht="18" x14ac:dyDescent="0.25">
      <c r="A150" s="116">
        <v>161</v>
      </c>
      <c r="B150" s="118" t="s">
        <v>3885</v>
      </c>
      <c r="C150" s="118" t="s">
        <v>881</v>
      </c>
      <c r="D150" s="118" t="s">
        <v>979</v>
      </c>
      <c r="E150" s="118">
        <v>20</v>
      </c>
      <c r="F150" s="117"/>
      <c r="G150" s="117"/>
      <c r="H150" s="120"/>
    </row>
    <row r="151" spans="1:8" ht="18" x14ac:dyDescent="0.25">
      <c r="A151" s="116">
        <v>162</v>
      </c>
      <c r="B151" s="118" t="s">
        <v>883</v>
      </c>
      <c r="C151" s="118" t="s">
        <v>881</v>
      </c>
      <c r="D151" s="118" t="s">
        <v>980</v>
      </c>
      <c r="E151" s="118">
        <v>12</v>
      </c>
      <c r="F151" s="117"/>
      <c r="G151" s="117"/>
      <c r="H151" s="120">
        <v>21.9</v>
      </c>
    </row>
    <row r="152" spans="1:8" ht="18" x14ac:dyDescent="0.25">
      <c r="A152" s="116">
        <v>163</v>
      </c>
      <c r="B152" s="118" t="s">
        <v>3887</v>
      </c>
      <c r="C152" s="118" t="s">
        <v>881</v>
      </c>
      <c r="D152" s="118" t="s">
        <v>980</v>
      </c>
      <c r="E152" s="118">
        <v>6</v>
      </c>
      <c r="F152" s="117"/>
      <c r="G152" s="117"/>
      <c r="H152" s="120"/>
    </row>
    <row r="153" spans="1:8" ht="18" x14ac:dyDescent="0.25">
      <c r="A153" s="116">
        <v>164</v>
      </c>
      <c r="B153" s="118" t="s">
        <v>884</v>
      </c>
      <c r="C153" s="118" t="s">
        <v>881</v>
      </c>
      <c r="D153" s="116" t="s">
        <v>2231</v>
      </c>
      <c r="E153" s="118">
        <v>16</v>
      </c>
      <c r="F153" s="117"/>
      <c r="G153" s="117"/>
      <c r="H153" s="120">
        <v>11.5</v>
      </c>
    </row>
    <row r="154" spans="1:8" ht="18" x14ac:dyDescent="0.25">
      <c r="A154" s="116">
        <v>165</v>
      </c>
      <c r="B154" s="118" t="s">
        <v>885</v>
      </c>
      <c r="C154" s="118" t="s">
        <v>881</v>
      </c>
      <c r="D154" s="118" t="s">
        <v>886</v>
      </c>
      <c r="E154" s="118">
        <v>29</v>
      </c>
      <c r="F154" s="117"/>
      <c r="G154" s="117"/>
      <c r="H154" s="120">
        <v>6.6</v>
      </c>
    </row>
    <row r="155" spans="1:8" ht="18" x14ac:dyDescent="0.25">
      <c r="A155" s="116">
        <v>166</v>
      </c>
      <c r="B155" s="118" t="s">
        <v>887</v>
      </c>
      <c r="C155" s="118" t="s">
        <v>881</v>
      </c>
      <c r="D155" s="118" t="s">
        <v>888</v>
      </c>
      <c r="E155" s="118">
        <v>16</v>
      </c>
      <c r="F155" s="117"/>
      <c r="G155" s="117"/>
      <c r="H155" s="120">
        <v>25.309799999999999</v>
      </c>
    </row>
    <row r="156" spans="1:8" ht="18" x14ac:dyDescent="0.25">
      <c r="A156" s="116">
        <v>167</v>
      </c>
      <c r="B156" s="118" t="s">
        <v>889</v>
      </c>
      <c r="C156" s="118" t="s">
        <v>881</v>
      </c>
      <c r="D156" s="118" t="s">
        <v>890</v>
      </c>
      <c r="E156" s="118">
        <v>15</v>
      </c>
      <c r="F156" s="117"/>
      <c r="G156" s="117"/>
      <c r="H156" s="120">
        <v>25.3</v>
      </c>
    </row>
    <row r="157" spans="1:8" ht="18" x14ac:dyDescent="0.25">
      <c r="A157" s="116">
        <v>168</v>
      </c>
      <c r="B157" s="118" t="s">
        <v>891</v>
      </c>
      <c r="C157" s="118" t="s">
        <v>881</v>
      </c>
      <c r="D157" s="118" t="s">
        <v>892</v>
      </c>
      <c r="E157" s="118">
        <v>36</v>
      </c>
      <c r="F157" s="117"/>
      <c r="G157" s="117"/>
      <c r="H157" s="120">
        <v>8.4</v>
      </c>
    </row>
    <row r="158" spans="1:8" ht="18" x14ac:dyDescent="0.25">
      <c r="A158" s="116">
        <v>169</v>
      </c>
      <c r="B158" s="118" t="s">
        <v>893</v>
      </c>
      <c r="C158" s="118" t="s">
        <v>881</v>
      </c>
      <c r="D158" s="118" t="s">
        <v>894</v>
      </c>
      <c r="E158" s="118">
        <v>25</v>
      </c>
      <c r="F158" s="117"/>
      <c r="G158" s="117"/>
      <c r="H158" s="120">
        <v>8.4</v>
      </c>
    </row>
    <row r="159" spans="1:8" ht="18" x14ac:dyDescent="0.25">
      <c r="A159" s="116">
        <v>170</v>
      </c>
      <c r="B159" s="118" t="s">
        <v>895</v>
      </c>
      <c r="C159" s="118" t="s">
        <v>881</v>
      </c>
      <c r="D159" s="118" t="s">
        <v>896</v>
      </c>
      <c r="E159" s="118">
        <v>14</v>
      </c>
      <c r="F159" s="117"/>
      <c r="G159" s="117"/>
      <c r="H159" s="120">
        <v>14.1</v>
      </c>
    </row>
    <row r="160" spans="1:8" ht="18" x14ac:dyDescent="0.25">
      <c r="A160" s="116">
        <v>171</v>
      </c>
      <c r="B160" s="118" t="s">
        <v>897</v>
      </c>
      <c r="C160" s="118" t="s">
        <v>881</v>
      </c>
      <c r="D160" s="118" t="s">
        <v>898</v>
      </c>
      <c r="E160" s="118">
        <v>61</v>
      </c>
      <c r="F160" s="117"/>
      <c r="G160" s="117"/>
      <c r="H160" s="120">
        <v>8.4</v>
      </c>
    </row>
    <row r="161" spans="1:8" ht="18" x14ac:dyDescent="0.25">
      <c r="A161" s="116">
        <v>172</v>
      </c>
      <c r="B161" s="118" t="s">
        <v>2823</v>
      </c>
      <c r="C161" s="118" t="s">
        <v>881</v>
      </c>
      <c r="D161" s="118" t="s">
        <v>2824</v>
      </c>
      <c r="E161" s="118">
        <v>2</v>
      </c>
      <c r="F161" s="117"/>
      <c r="G161" s="117"/>
      <c r="H161" s="120"/>
    </row>
    <row r="162" spans="1:8" ht="18" x14ac:dyDescent="0.25">
      <c r="A162" s="116">
        <v>173</v>
      </c>
      <c r="B162" s="118" t="s">
        <v>4009</v>
      </c>
      <c r="C162" s="118" t="s">
        <v>881</v>
      </c>
      <c r="D162" s="118" t="s">
        <v>4010</v>
      </c>
      <c r="E162" s="118">
        <v>0</v>
      </c>
      <c r="F162" s="117"/>
      <c r="G162" s="117"/>
      <c r="H162" s="120"/>
    </row>
    <row r="163" spans="1:8" ht="18" x14ac:dyDescent="0.25">
      <c r="A163" s="116">
        <v>174</v>
      </c>
      <c r="B163" s="118" t="s">
        <v>899</v>
      </c>
      <c r="C163" s="118" t="s">
        <v>881</v>
      </c>
      <c r="D163" s="118" t="s">
        <v>900</v>
      </c>
      <c r="E163" s="118">
        <v>8</v>
      </c>
      <c r="F163" s="117"/>
      <c r="G163" s="117"/>
      <c r="H163" s="120">
        <v>29.3</v>
      </c>
    </row>
    <row r="164" spans="1:8" ht="18" x14ac:dyDescent="0.25">
      <c r="A164" s="116">
        <v>175</v>
      </c>
      <c r="B164" s="118" t="s">
        <v>997</v>
      </c>
      <c r="C164" s="118" t="s">
        <v>881</v>
      </c>
      <c r="D164" s="118" t="s">
        <v>998</v>
      </c>
      <c r="E164" s="118">
        <v>16</v>
      </c>
      <c r="F164" s="117"/>
      <c r="G164" s="117"/>
      <c r="H164" s="120">
        <v>6.6</v>
      </c>
    </row>
    <row r="165" spans="1:8" ht="18" x14ac:dyDescent="0.25">
      <c r="A165" s="116">
        <v>176</v>
      </c>
      <c r="B165" s="118" t="s">
        <v>2836</v>
      </c>
      <c r="C165" s="118" t="s">
        <v>881</v>
      </c>
      <c r="D165" s="118" t="s">
        <v>2837</v>
      </c>
      <c r="E165" s="118">
        <v>26</v>
      </c>
      <c r="F165" s="117"/>
      <c r="G165" s="117"/>
      <c r="H165" s="120"/>
    </row>
    <row r="166" spans="1:8" ht="18" x14ac:dyDescent="0.25">
      <c r="A166" s="116">
        <v>177</v>
      </c>
      <c r="B166" s="118" t="s">
        <v>1002</v>
      </c>
      <c r="C166" s="118" t="s">
        <v>881</v>
      </c>
      <c r="D166" s="118" t="s">
        <v>1003</v>
      </c>
      <c r="E166" s="118">
        <v>38</v>
      </c>
      <c r="F166" s="117"/>
      <c r="G166" s="117"/>
      <c r="H166" s="120">
        <v>8.4</v>
      </c>
    </row>
    <row r="167" spans="1:8" ht="18" x14ac:dyDescent="0.25">
      <c r="A167" s="116">
        <v>178</v>
      </c>
      <c r="B167" s="118" t="s">
        <v>2785</v>
      </c>
      <c r="C167" s="118" t="s">
        <v>881</v>
      </c>
      <c r="D167" s="118" t="s">
        <v>3707</v>
      </c>
      <c r="E167" s="118">
        <v>2</v>
      </c>
      <c r="F167" s="117"/>
      <c r="G167" s="117"/>
      <c r="H167" s="120"/>
    </row>
    <row r="168" spans="1:8" ht="18" x14ac:dyDescent="0.25">
      <c r="A168" s="116">
        <v>179</v>
      </c>
      <c r="B168" s="118" t="s">
        <v>1061</v>
      </c>
      <c r="C168" s="118" t="s">
        <v>881</v>
      </c>
      <c r="D168" s="118" t="s">
        <v>1361</v>
      </c>
      <c r="E168" s="118">
        <v>23</v>
      </c>
      <c r="F168" s="117"/>
      <c r="G168" s="117"/>
      <c r="H168" s="120">
        <v>14</v>
      </c>
    </row>
    <row r="169" spans="1:8" ht="18" x14ac:dyDescent="0.25">
      <c r="A169" s="116">
        <v>180</v>
      </c>
      <c r="B169" s="118" t="s">
        <v>1062</v>
      </c>
      <c r="C169" s="118" t="s">
        <v>881</v>
      </c>
      <c r="D169" s="118" t="s">
        <v>1063</v>
      </c>
      <c r="E169" s="118">
        <v>25</v>
      </c>
      <c r="F169" s="117"/>
      <c r="G169" s="117"/>
      <c r="H169" s="120">
        <v>8.8000000000000007</v>
      </c>
    </row>
    <row r="170" spans="1:8" ht="18" x14ac:dyDescent="0.25">
      <c r="A170" s="116">
        <v>181</v>
      </c>
      <c r="B170" s="118" t="s">
        <v>1072</v>
      </c>
      <c r="C170" s="118" t="s">
        <v>881</v>
      </c>
      <c r="D170" s="118" t="s">
        <v>1073</v>
      </c>
      <c r="E170" s="118">
        <v>27</v>
      </c>
      <c r="F170" s="117"/>
      <c r="G170" s="117"/>
      <c r="H170" s="120">
        <v>10.5</v>
      </c>
    </row>
    <row r="171" spans="1:8" ht="18" x14ac:dyDescent="0.25">
      <c r="A171" s="116">
        <v>182</v>
      </c>
      <c r="B171" s="118" t="s">
        <v>1115</v>
      </c>
      <c r="C171" s="118" t="s">
        <v>881</v>
      </c>
      <c r="D171" s="118" t="s">
        <v>1116</v>
      </c>
      <c r="E171" s="118">
        <v>10</v>
      </c>
      <c r="F171" s="117"/>
      <c r="G171" s="117"/>
      <c r="H171" s="120">
        <v>27</v>
      </c>
    </row>
    <row r="172" spans="1:8" ht="18" x14ac:dyDescent="0.25">
      <c r="A172" s="116">
        <v>183</v>
      </c>
      <c r="B172" s="118" t="s">
        <v>1117</v>
      </c>
      <c r="C172" s="118" t="s">
        <v>881</v>
      </c>
      <c r="D172" s="118" t="s">
        <v>1118</v>
      </c>
      <c r="E172" s="118">
        <v>1</v>
      </c>
      <c r="F172" s="117"/>
      <c r="G172" s="117"/>
      <c r="H172" s="120">
        <v>14.1</v>
      </c>
    </row>
    <row r="173" spans="1:8" ht="18" x14ac:dyDescent="0.25">
      <c r="A173" s="116">
        <v>184</v>
      </c>
      <c r="B173" s="118" t="s">
        <v>1119</v>
      </c>
      <c r="C173" s="118" t="s">
        <v>881</v>
      </c>
      <c r="D173" s="118" t="s">
        <v>1120</v>
      </c>
      <c r="E173" s="118">
        <v>5</v>
      </c>
      <c r="F173" s="117"/>
      <c r="G173" s="117"/>
      <c r="H173" s="120">
        <v>26.21</v>
      </c>
    </row>
    <row r="174" spans="1:8" ht="18" x14ac:dyDescent="0.25">
      <c r="A174" s="116">
        <v>185</v>
      </c>
      <c r="B174" s="118" t="s">
        <v>1121</v>
      </c>
      <c r="C174" s="118" t="s">
        <v>881</v>
      </c>
      <c r="D174" s="118" t="s">
        <v>1122</v>
      </c>
      <c r="E174" s="118">
        <v>27</v>
      </c>
      <c r="F174" s="117"/>
      <c r="G174" s="117"/>
      <c r="H174" s="120">
        <v>24.8</v>
      </c>
    </row>
    <row r="175" spans="1:8" ht="18" x14ac:dyDescent="0.25">
      <c r="A175" s="116">
        <v>186</v>
      </c>
      <c r="B175" s="118" t="s">
        <v>1123</v>
      </c>
      <c r="C175" s="118" t="s">
        <v>881</v>
      </c>
      <c r="D175" s="118" t="s">
        <v>1124</v>
      </c>
      <c r="E175" s="118">
        <v>10</v>
      </c>
      <c r="F175" s="117"/>
      <c r="G175" s="117"/>
      <c r="H175" s="120">
        <v>21.4</v>
      </c>
    </row>
    <row r="176" spans="1:8" ht="18" x14ac:dyDescent="0.25">
      <c r="A176" s="116">
        <v>187</v>
      </c>
      <c r="B176" s="118" t="s">
        <v>1125</v>
      </c>
      <c r="C176" s="118" t="s">
        <v>881</v>
      </c>
      <c r="D176" s="118" t="s">
        <v>1669</v>
      </c>
      <c r="E176" s="118">
        <v>35</v>
      </c>
      <c r="F176" s="117"/>
      <c r="G176" s="117"/>
      <c r="H176" s="120">
        <v>11.5</v>
      </c>
    </row>
    <row r="177" spans="1:8" ht="18" x14ac:dyDescent="0.25">
      <c r="A177" s="116">
        <v>188</v>
      </c>
      <c r="B177" s="118" t="s">
        <v>3886</v>
      </c>
      <c r="C177" s="118" t="s">
        <v>881</v>
      </c>
      <c r="D177" s="118" t="s">
        <v>1669</v>
      </c>
      <c r="E177" s="118">
        <v>0</v>
      </c>
      <c r="F177" s="117"/>
      <c r="G177" s="117"/>
      <c r="H177" s="120"/>
    </row>
    <row r="178" spans="1:8" ht="18" x14ac:dyDescent="0.25">
      <c r="A178" s="116">
        <v>189</v>
      </c>
      <c r="B178" s="126" t="s">
        <v>1159</v>
      </c>
      <c r="C178" s="126" t="s">
        <v>881</v>
      </c>
      <c r="D178" s="126" t="s">
        <v>1160</v>
      </c>
      <c r="E178" s="118">
        <v>6</v>
      </c>
      <c r="F178" s="117"/>
      <c r="G178" s="117"/>
      <c r="H178" s="120">
        <v>8.4</v>
      </c>
    </row>
    <row r="179" spans="1:8" ht="18" x14ac:dyDescent="0.25">
      <c r="A179" s="116">
        <v>190</v>
      </c>
      <c r="B179" s="126" t="s">
        <v>1161</v>
      </c>
      <c r="C179" s="126" t="s">
        <v>881</v>
      </c>
      <c r="D179" s="126" t="s">
        <v>1162</v>
      </c>
      <c r="E179" s="118">
        <v>22</v>
      </c>
      <c r="F179" s="117"/>
      <c r="G179" s="117"/>
      <c r="H179" s="120">
        <v>6.3</v>
      </c>
    </row>
    <row r="180" spans="1:8" ht="18" x14ac:dyDescent="0.25">
      <c r="A180" s="116">
        <v>191</v>
      </c>
      <c r="B180" s="126" t="s">
        <v>1167</v>
      </c>
      <c r="C180" s="126" t="s">
        <v>881</v>
      </c>
      <c r="D180" s="126" t="s">
        <v>1168</v>
      </c>
      <c r="E180" s="118">
        <v>38</v>
      </c>
      <c r="F180" s="117"/>
      <c r="G180" s="117"/>
      <c r="H180" s="120">
        <v>14.1</v>
      </c>
    </row>
    <row r="181" spans="1:8" ht="18" x14ac:dyDescent="0.25">
      <c r="A181" s="116">
        <v>192</v>
      </c>
      <c r="B181" s="126" t="s">
        <v>1169</v>
      </c>
      <c r="C181" s="126" t="s">
        <v>881</v>
      </c>
      <c r="D181" s="126" t="s">
        <v>1170</v>
      </c>
      <c r="E181" s="118">
        <v>12</v>
      </c>
      <c r="F181" s="117"/>
      <c r="G181" s="117"/>
      <c r="H181" s="120">
        <v>14.1</v>
      </c>
    </row>
    <row r="182" spans="1:8" ht="18" x14ac:dyDescent="0.25">
      <c r="A182" s="116">
        <v>193</v>
      </c>
      <c r="B182" s="126" t="s">
        <v>1204</v>
      </c>
      <c r="C182" s="126" t="s">
        <v>881</v>
      </c>
      <c r="D182" s="126" t="s">
        <v>1898</v>
      </c>
      <c r="E182" s="118">
        <v>18</v>
      </c>
      <c r="F182" s="117"/>
      <c r="G182" s="117"/>
      <c r="H182" s="120">
        <v>21.4</v>
      </c>
    </row>
    <row r="183" spans="1:8" ht="18" x14ac:dyDescent="0.25">
      <c r="A183" s="116">
        <v>194</v>
      </c>
      <c r="B183" s="126" t="s">
        <v>1205</v>
      </c>
      <c r="C183" s="126" t="s">
        <v>881</v>
      </c>
      <c r="D183" s="126" t="s">
        <v>1206</v>
      </c>
      <c r="E183" s="118">
        <v>8</v>
      </c>
      <c r="F183" s="117"/>
      <c r="G183" s="117"/>
      <c r="H183" s="120">
        <v>29.3</v>
      </c>
    </row>
    <row r="184" spans="1:8" ht="18" x14ac:dyDescent="0.25">
      <c r="A184" s="116">
        <v>195</v>
      </c>
      <c r="B184" s="126" t="s">
        <v>1207</v>
      </c>
      <c r="C184" s="126" t="s">
        <v>881</v>
      </c>
      <c r="D184" s="126" t="s">
        <v>1208</v>
      </c>
      <c r="E184" s="118">
        <v>7</v>
      </c>
      <c r="F184" s="117"/>
      <c r="G184" s="117"/>
      <c r="H184" s="120">
        <v>14</v>
      </c>
    </row>
    <row r="185" spans="1:8" ht="18" x14ac:dyDescent="0.25">
      <c r="A185" s="116">
        <v>196</v>
      </c>
      <c r="B185" s="126" t="s">
        <v>1213</v>
      </c>
      <c r="C185" s="126" t="s">
        <v>881</v>
      </c>
      <c r="D185" s="126" t="s">
        <v>1214</v>
      </c>
      <c r="E185" s="118">
        <v>22</v>
      </c>
      <c r="F185" s="117"/>
      <c r="G185" s="117"/>
      <c r="H185" s="120">
        <v>9</v>
      </c>
    </row>
    <row r="186" spans="1:8" ht="18" x14ac:dyDescent="0.25">
      <c r="A186" s="116">
        <v>197</v>
      </c>
      <c r="B186" s="126" t="s">
        <v>1209</v>
      </c>
      <c r="C186" s="126" t="s">
        <v>881</v>
      </c>
      <c r="D186" s="126" t="s">
        <v>1210</v>
      </c>
      <c r="E186" s="118">
        <v>3</v>
      </c>
      <c r="F186" s="117"/>
      <c r="G186" s="117"/>
      <c r="H186" s="120">
        <v>15.2</v>
      </c>
    </row>
    <row r="187" spans="1:8" ht="18" x14ac:dyDescent="0.25">
      <c r="A187" s="116">
        <v>198</v>
      </c>
      <c r="B187" s="126" t="s">
        <v>1211</v>
      </c>
      <c r="C187" s="126" t="s">
        <v>881</v>
      </c>
      <c r="D187" s="126" t="s">
        <v>1212</v>
      </c>
      <c r="E187" s="118">
        <v>7</v>
      </c>
      <c r="F187" s="117"/>
      <c r="G187" s="117"/>
      <c r="H187" s="120">
        <v>19.7</v>
      </c>
    </row>
    <row r="188" spans="1:8" ht="18" x14ac:dyDescent="0.25">
      <c r="A188" s="116">
        <v>199</v>
      </c>
      <c r="B188" s="126" t="s">
        <v>1259</v>
      </c>
      <c r="C188" s="126" t="s">
        <v>881</v>
      </c>
      <c r="D188" s="126" t="s">
        <v>1260</v>
      </c>
      <c r="E188" s="118">
        <v>16</v>
      </c>
      <c r="F188" s="117"/>
      <c r="G188" s="117"/>
      <c r="H188" s="120">
        <v>15.2</v>
      </c>
    </row>
    <row r="189" spans="1:8" ht="18" x14ac:dyDescent="0.25">
      <c r="A189" s="116">
        <v>200</v>
      </c>
      <c r="B189" s="117"/>
      <c r="C189" s="117"/>
      <c r="D189" s="117"/>
      <c r="E189" s="117"/>
      <c r="F189" s="117"/>
      <c r="G189" s="117"/>
      <c r="H189" s="120"/>
    </row>
    <row r="190" spans="1:8" ht="18" x14ac:dyDescent="0.25">
      <c r="A190" s="116">
        <v>201</v>
      </c>
      <c r="B190" s="126" t="s">
        <v>1598</v>
      </c>
      <c r="C190" s="126" t="s">
        <v>881</v>
      </c>
      <c r="D190" s="126" t="s">
        <v>1599</v>
      </c>
      <c r="E190" s="118">
        <v>27</v>
      </c>
      <c r="F190" s="117"/>
      <c r="G190" s="117"/>
      <c r="H190" s="120"/>
    </row>
    <row r="191" spans="1:8" ht="18" x14ac:dyDescent="0.25">
      <c r="A191" s="116">
        <v>202</v>
      </c>
      <c r="B191" s="126" t="s">
        <v>1600</v>
      </c>
      <c r="C191" s="126" t="s">
        <v>881</v>
      </c>
      <c r="D191" s="126" t="s">
        <v>1601</v>
      </c>
      <c r="E191" s="118">
        <v>11</v>
      </c>
      <c r="F191" s="117"/>
      <c r="G191" s="117"/>
      <c r="H191" s="120"/>
    </row>
    <row r="192" spans="1:8" ht="18" x14ac:dyDescent="0.25">
      <c r="A192" s="116">
        <v>203</v>
      </c>
      <c r="B192" s="126" t="s">
        <v>1693</v>
      </c>
      <c r="C192" s="126" t="s">
        <v>881</v>
      </c>
      <c r="D192" s="126" t="s">
        <v>3708</v>
      </c>
      <c r="E192" s="118">
        <v>18</v>
      </c>
      <c r="F192" s="117"/>
      <c r="G192" s="117"/>
      <c r="H192" s="120"/>
    </row>
    <row r="193" spans="1:8" ht="18" x14ac:dyDescent="0.25">
      <c r="A193" s="116">
        <v>204</v>
      </c>
      <c r="B193" s="126" t="s">
        <v>1704</v>
      </c>
      <c r="C193" s="126" t="s">
        <v>881</v>
      </c>
      <c r="D193" s="126" t="s">
        <v>1705</v>
      </c>
      <c r="E193" s="118">
        <v>19</v>
      </c>
      <c r="F193" s="117"/>
      <c r="G193" s="117"/>
      <c r="H193" s="120"/>
    </row>
    <row r="194" spans="1:8" ht="18" x14ac:dyDescent="0.25">
      <c r="A194" s="116">
        <v>205</v>
      </c>
      <c r="B194" s="126" t="s">
        <v>1849</v>
      </c>
      <c r="C194" s="126" t="s">
        <v>1850</v>
      </c>
      <c r="D194" s="126" t="s">
        <v>1848</v>
      </c>
      <c r="E194" s="118">
        <v>18</v>
      </c>
      <c r="F194" s="117"/>
      <c r="G194" s="117"/>
      <c r="H194" s="120"/>
    </row>
    <row r="195" spans="1:8" ht="18" x14ac:dyDescent="0.25">
      <c r="A195" s="116">
        <v>206</v>
      </c>
      <c r="B195" s="126" t="s">
        <v>1852</v>
      </c>
      <c r="C195" s="126" t="s">
        <v>1850</v>
      </c>
      <c r="D195" s="126" t="s">
        <v>1851</v>
      </c>
      <c r="E195" s="118">
        <v>0</v>
      </c>
      <c r="F195" s="117"/>
      <c r="G195" s="117"/>
      <c r="H195" s="120"/>
    </row>
    <row r="196" spans="1:8" ht="18" x14ac:dyDescent="0.25">
      <c r="A196" s="116">
        <v>207</v>
      </c>
      <c r="B196" s="126" t="s">
        <v>2946</v>
      </c>
      <c r="C196" s="126" t="s">
        <v>1850</v>
      </c>
      <c r="D196" s="126" t="s">
        <v>2945</v>
      </c>
      <c r="E196" s="118">
        <v>9</v>
      </c>
      <c r="F196" s="117"/>
      <c r="G196" s="117"/>
      <c r="H196" s="120"/>
    </row>
    <row r="197" spans="1:8" ht="18" x14ac:dyDescent="0.25">
      <c r="A197" s="116">
        <v>208</v>
      </c>
      <c r="B197" s="126" t="s">
        <v>2951</v>
      </c>
      <c r="C197" s="126" t="s">
        <v>1850</v>
      </c>
      <c r="D197" s="126" t="s">
        <v>2952</v>
      </c>
      <c r="E197" s="118">
        <v>6</v>
      </c>
      <c r="F197" s="117"/>
      <c r="G197" s="117"/>
      <c r="H197" s="120"/>
    </row>
    <row r="198" spans="1:8" ht="18" x14ac:dyDescent="0.25">
      <c r="A198" s="116">
        <v>209</v>
      </c>
      <c r="B198" s="126" t="s">
        <v>2981</v>
      </c>
      <c r="C198" s="126" t="s">
        <v>1850</v>
      </c>
      <c r="D198" s="126" t="s">
        <v>2982</v>
      </c>
      <c r="E198" s="118">
        <v>12</v>
      </c>
      <c r="F198" s="117"/>
      <c r="G198" s="117"/>
      <c r="H198" s="120"/>
    </row>
    <row r="199" spans="1:8" ht="18" x14ac:dyDescent="0.25">
      <c r="A199" s="116">
        <v>210</v>
      </c>
      <c r="B199" s="126" t="s">
        <v>3241</v>
      </c>
      <c r="C199" s="126" t="s">
        <v>881</v>
      </c>
      <c r="D199" s="126" t="s">
        <v>3240</v>
      </c>
      <c r="E199" s="118">
        <v>7</v>
      </c>
      <c r="F199" s="117"/>
      <c r="G199" s="117"/>
      <c r="H199" s="120"/>
    </row>
    <row r="200" spans="1:8" ht="18" x14ac:dyDescent="0.25">
      <c r="A200" s="116">
        <v>211</v>
      </c>
      <c r="B200" s="126" t="s">
        <v>3575</v>
      </c>
      <c r="C200" s="126" t="s">
        <v>881</v>
      </c>
      <c r="D200" s="126" t="s">
        <v>3574</v>
      </c>
      <c r="E200" s="118">
        <v>5</v>
      </c>
      <c r="F200" s="117"/>
      <c r="G200" s="117"/>
      <c r="H200" s="120"/>
    </row>
    <row r="201" spans="1:8" ht="18" x14ac:dyDescent="0.25">
      <c r="A201" s="116">
        <v>212</v>
      </c>
      <c r="B201" s="126" t="s">
        <v>3935</v>
      </c>
      <c r="C201" s="126" t="s">
        <v>881</v>
      </c>
      <c r="D201" s="126" t="s">
        <v>3936</v>
      </c>
      <c r="E201" s="118">
        <v>5</v>
      </c>
      <c r="F201" s="117"/>
      <c r="G201" s="117"/>
      <c r="H201" s="120"/>
    </row>
    <row r="202" spans="1:8" ht="18" x14ac:dyDescent="0.25">
      <c r="A202" s="116">
        <v>213</v>
      </c>
      <c r="B202" s="131" t="s">
        <v>4373</v>
      </c>
      <c r="C202" s="126" t="s">
        <v>881</v>
      </c>
      <c r="D202" s="126" t="s">
        <v>4374</v>
      </c>
      <c r="E202" s="118">
        <v>2</v>
      </c>
      <c r="F202" s="117"/>
      <c r="G202" s="117"/>
      <c r="H202" s="120"/>
    </row>
    <row r="203" spans="1:8" ht="18" x14ac:dyDescent="0.25">
      <c r="A203" s="116">
        <v>214</v>
      </c>
      <c r="B203" s="139" t="s">
        <v>4578</v>
      </c>
      <c r="C203" s="126" t="s">
        <v>881</v>
      </c>
      <c r="D203" s="126" t="s">
        <v>4577</v>
      </c>
      <c r="E203" s="118">
        <v>10</v>
      </c>
      <c r="F203" s="117"/>
      <c r="G203" s="117"/>
      <c r="H203" s="120"/>
    </row>
    <row r="204" spans="1:8" ht="39.75" customHeight="1" x14ac:dyDescent="0.25">
      <c r="A204" s="116">
        <v>217</v>
      </c>
      <c r="B204" s="171" t="s">
        <v>344</v>
      </c>
      <c r="C204" s="171"/>
      <c r="D204" s="171"/>
      <c r="E204" s="171"/>
      <c r="F204" s="117"/>
      <c r="G204" s="117"/>
      <c r="H204" s="120"/>
    </row>
    <row r="205" spans="1:8" ht="18" x14ac:dyDescent="0.25">
      <c r="A205" s="116">
        <v>220</v>
      </c>
      <c r="B205" s="118" t="s">
        <v>1140</v>
      </c>
      <c r="C205" s="118" t="s">
        <v>901</v>
      </c>
      <c r="D205" s="119" t="s">
        <v>1130</v>
      </c>
      <c r="E205" s="118">
        <v>3</v>
      </c>
      <c r="F205" s="117"/>
      <c r="G205" s="117"/>
      <c r="H205" s="120">
        <v>86.62</v>
      </c>
    </row>
    <row r="206" spans="1:8" ht="18" x14ac:dyDescent="0.25">
      <c r="A206" s="116">
        <v>221</v>
      </c>
      <c r="B206" s="118" t="s">
        <v>1141</v>
      </c>
      <c r="C206" s="118" t="s">
        <v>901</v>
      </c>
      <c r="D206" s="118" t="s">
        <v>1129</v>
      </c>
      <c r="E206" s="118">
        <v>7</v>
      </c>
      <c r="F206" s="117"/>
      <c r="G206" s="117"/>
      <c r="H206" s="120">
        <v>36.56</v>
      </c>
    </row>
    <row r="207" spans="1:8" ht="18" x14ac:dyDescent="0.25">
      <c r="A207" s="116">
        <v>222</v>
      </c>
      <c r="B207" s="118" t="s">
        <v>1044</v>
      </c>
      <c r="C207" s="118" t="s">
        <v>901</v>
      </c>
      <c r="D207" s="118" t="s">
        <v>1263</v>
      </c>
      <c r="E207" s="118">
        <v>5</v>
      </c>
      <c r="F207" s="117"/>
      <c r="G207" s="117"/>
      <c r="H207" s="120">
        <v>35.433720000000001</v>
      </c>
    </row>
    <row r="208" spans="1:8" ht="18" x14ac:dyDescent="0.25">
      <c r="A208" s="116">
        <v>223</v>
      </c>
      <c r="B208" s="118" t="s">
        <v>1045</v>
      </c>
      <c r="C208" s="118" t="s">
        <v>901</v>
      </c>
      <c r="D208" s="118" t="s">
        <v>982</v>
      </c>
      <c r="E208" s="118">
        <v>4</v>
      </c>
      <c r="F208" s="117"/>
      <c r="G208" s="140"/>
      <c r="H208" s="120">
        <v>36.558599999999998</v>
      </c>
    </row>
    <row r="209" spans="1:8" ht="18" x14ac:dyDescent="0.25">
      <c r="A209" s="116">
        <v>224</v>
      </c>
      <c r="B209" s="121" t="s">
        <v>902</v>
      </c>
      <c r="C209" s="118" t="s">
        <v>901</v>
      </c>
      <c r="D209" s="119" t="s">
        <v>981</v>
      </c>
      <c r="E209" s="118">
        <v>28</v>
      </c>
      <c r="F209" s="117"/>
      <c r="G209" s="117"/>
      <c r="H209" s="120">
        <v>35.433720000000001</v>
      </c>
    </row>
    <row r="210" spans="1:8" ht="18" x14ac:dyDescent="0.25">
      <c r="A210" s="116">
        <v>225</v>
      </c>
      <c r="B210" s="118" t="s">
        <v>1046</v>
      </c>
      <c r="C210" s="118" t="s">
        <v>901</v>
      </c>
      <c r="D210" s="119" t="s">
        <v>903</v>
      </c>
      <c r="E210" s="118">
        <v>16</v>
      </c>
      <c r="F210" s="117"/>
      <c r="G210" s="117"/>
      <c r="H210" s="120">
        <v>34.308839999999996</v>
      </c>
    </row>
    <row r="211" spans="1:8" ht="18" x14ac:dyDescent="0.25">
      <c r="A211" s="116">
        <v>226</v>
      </c>
      <c r="B211" s="126" t="s">
        <v>1424</v>
      </c>
      <c r="C211" s="126" t="s">
        <v>901</v>
      </c>
      <c r="D211" s="125" t="s">
        <v>1425</v>
      </c>
      <c r="E211" s="118">
        <v>0</v>
      </c>
      <c r="F211" s="117"/>
      <c r="G211" s="117"/>
      <c r="H211" s="120"/>
    </row>
    <row r="212" spans="1:8" ht="18" x14ac:dyDescent="0.25">
      <c r="A212" s="116">
        <v>227</v>
      </c>
      <c r="B212" s="118" t="s">
        <v>1047</v>
      </c>
      <c r="C212" s="118" t="s">
        <v>901</v>
      </c>
      <c r="D212" s="119" t="s">
        <v>983</v>
      </c>
      <c r="E212" s="118">
        <v>11</v>
      </c>
      <c r="F212" s="117"/>
      <c r="G212" s="117"/>
      <c r="H212" s="120">
        <v>35.397599999999997</v>
      </c>
    </row>
    <row r="213" spans="1:8" ht="18" x14ac:dyDescent="0.25">
      <c r="A213" s="116">
        <v>228</v>
      </c>
      <c r="B213" s="118" t="s">
        <v>1048</v>
      </c>
      <c r="C213" s="118" t="s">
        <v>901</v>
      </c>
      <c r="D213" s="119" t="s">
        <v>904</v>
      </c>
      <c r="E213" s="118">
        <v>26</v>
      </c>
      <c r="F213" s="117"/>
      <c r="G213" s="117"/>
      <c r="H213" s="120">
        <v>35.433720000000001</v>
      </c>
    </row>
    <row r="214" spans="1:8" ht="18" x14ac:dyDescent="0.25">
      <c r="A214" s="116">
        <v>229</v>
      </c>
      <c r="B214" s="118" t="s">
        <v>1049</v>
      </c>
      <c r="C214" s="118" t="s">
        <v>901</v>
      </c>
      <c r="D214" s="118" t="s">
        <v>905</v>
      </c>
      <c r="E214" s="118">
        <v>4</v>
      </c>
      <c r="F214" s="117"/>
      <c r="G214" s="117"/>
      <c r="H214" s="120">
        <v>24.184919999999998</v>
      </c>
    </row>
    <row r="215" spans="1:8" ht="18" x14ac:dyDescent="0.25">
      <c r="A215" s="116">
        <v>230</v>
      </c>
      <c r="B215" s="121" t="s">
        <v>1426</v>
      </c>
      <c r="C215" s="118" t="s">
        <v>901</v>
      </c>
      <c r="D215" s="118" t="s">
        <v>1076</v>
      </c>
      <c r="E215" s="118">
        <v>0</v>
      </c>
      <c r="F215" s="117"/>
      <c r="G215" s="117"/>
      <c r="H215" s="120">
        <v>35.43</v>
      </c>
    </row>
    <row r="216" spans="1:8" ht="18" x14ac:dyDescent="0.25">
      <c r="A216" s="116">
        <v>231</v>
      </c>
      <c r="B216" s="118" t="s">
        <v>1142</v>
      </c>
      <c r="C216" s="118" t="s">
        <v>901</v>
      </c>
      <c r="D216" s="118" t="s">
        <v>1128</v>
      </c>
      <c r="E216" s="118">
        <v>4</v>
      </c>
      <c r="F216" s="117"/>
      <c r="G216" s="117"/>
      <c r="H216" s="120">
        <v>47.24</v>
      </c>
    </row>
    <row r="217" spans="1:8" ht="18" x14ac:dyDescent="0.25">
      <c r="A217" s="116">
        <v>232</v>
      </c>
      <c r="B217" s="118" t="s">
        <v>1143</v>
      </c>
      <c r="C217" s="118" t="s">
        <v>901</v>
      </c>
      <c r="D217" s="118" t="s">
        <v>1001</v>
      </c>
      <c r="E217" s="118">
        <v>8</v>
      </c>
      <c r="F217" s="117"/>
      <c r="G217" s="117"/>
      <c r="H217" s="120">
        <v>36.563760000000002</v>
      </c>
    </row>
    <row r="218" spans="1:8" ht="18" x14ac:dyDescent="0.25">
      <c r="A218" s="116">
        <v>233</v>
      </c>
      <c r="B218" s="126" t="s">
        <v>1152</v>
      </c>
      <c r="C218" s="126" t="s">
        <v>901</v>
      </c>
      <c r="D218" s="125" t="s">
        <v>1153</v>
      </c>
      <c r="E218" s="118">
        <v>5</v>
      </c>
      <c r="F218" s="117"/>
      <c r="G218" s="117"/>
      <c r="H218" s="120">
        <v>36.56</v>
      </c>
    </row>
    <row r="219" spans="1:8" ht="18" x14ac:dyDescent="0.25">
      <c r="A219" s="116">
        <v>234</v>
      </c>
      <c r="B219" s="126" t="s">
        <v>1171</v>
      </c>
      <c r="C219" s="126" t="s">
        <v>901</v>
      </c>
      <c r="D219" s="126" t="s">
        <v>3229</v>
      </c>
      <c r="E219" s="118">
        <v>2</v>
      </c>
      <c r="F219" s="117"/>
      <c r="G219" s="117"/>
      <c r="H219" s="120">
        <v>35.43</v>
      </c>
    </row>
    <row r="220" spans="1:8" ht="18" x14ac:dyDescent="0.25">
      <c r="A220" s="116">
        <v>235</v>
      </c>
      <c r="B220" s="126" t="s">
        <v>1230</v>
      </c>
      <c r="C220" s="126" t="s">
        <v>901</v>
      </c>
      <c r="D220" s="125" t="s">
        <v>1262</v>
      </c>
      <c r="E220" s="118">
        <v>14</v>
      </c>
      <c r="F220" s="117"/>
      <c r="G220" s="117"/>
      <c r="H220" s="120">
        <v>36.56</v>
      </c>
    </row>
    <row r="221" spans="1:8" ht="18.75" x14ac:dyDescent="0.25">
      <c r="A221" s="116">
        <v>236</v>
      </c>
      <c r="B221" s="126" t="s">
        <v>1237</v>
      </c>
      <c r="C221" s="126" t="s">
        <v>901</v>
      </c>
      <c r="D221" s="125" t="s">
        <v>1238</v>
      </c>
      <c r="E221" s="118">
        <v>0</v>
      </c>
      <c r="F221" s="117"/>
      <c r="G221" s="117"/>
      <c r="H221" s="141">
        <v>57.375</v>
      </c>
    </row>
    <row r="222" spans="1:8" ht="18" x14ac:dyDescent="0.25">
      <c r="A222" s="116">
        <v>237</v>
      </c>
      <c r="B222" s="126" t="s">
        <v>1243</v>
      </c>
      <c r="C222" s="126" t="s">
        <v>901</v>
      </c>
      <c r="D222" s="126" t="s">
        <v>1244</v>
      </c>
      <c r="E222" s="118">
        <v>11</v>
      </c>
      <c r="F222" s="117"/>
      <c r="G222" s="117"/>
      <c r="H222" s="120">
        <v>23.06</v>
      </c>
    </row>
    <row r="223" spans="1:8" ht="18" x14ac:dyDescent="0.25">
      <c r="A223" s="116">
        <v>238</v>
      </c>
      <c r="B223" s="126" t="s">
        <v>1267</v>
      </c>
      <c r="C223" s="126" t="s">
        <v>901</v>
      </c>
      <c r="D223" s="125" t="s">
        <v>1268</v>
      </c>
      <c r="E223" s="118">
        <v>3</v>
      </c>
      <c r="F223" s="117"/>
      <c r="G223" s="117"/>
      <c r="H223" s="120">
        <v>27.56</v>
      </c>
    </row>
    <row r="224" spans="1:8" ht="18" x14ac:dyDescent="0.25">
      <c r="A224" s="116">
        <v>239</v>
      </c>
      <c r="B224" s="126" t="s">
        <v>1291</v>
      </c>
      <c r="C224" s="126" t="s">
        <v>901</v>
      </c>
      <c r="D224" s="126" t="s">
        <v>1292</v>
      </c>
      <c r="E224" s="118">
        <v>6</v>
      </c>
      <c r="F224" s="117"/>
      <c r="G224" s="117"/>
      <c r="H224" s="120">
        <v>36.56</v>
      </c>
    </row>
    <row r="225" spans="1:8" ht="18" x14ac:dyDescent="0.25">
      <c r="A225" s="116">
        <v>240</v>
      </c>
      <c r="B225" s="134" t="s">
        <v>1293</v>
      </c>
      <c r="C225" s="126" t="s">
        <v>901</v>
      </c>
      <c r="D225" s="142" t="s">
        <v>1415</v>
      </c>
      <c r="E225" s="118">
        <v>10</v>
      </c>
      <c r="F225" s="117"/>
      <c r="G225" s="117"/>
      <c r="H225" s="120">
        <v>36.56</v>
      </c>
    </row>
    <row r="226" spans="1:8" ht="18" x14ac:dyDescent="0.25">
      <c r="A226" s="116">
        <v>241</v>
      </c>
      <c r="B226" s="126" t="s">
        <v>1294</v>
      </c>
      <c r="C226" s="126" t="s">
        <v>901</v>
      </c>
      <c r="D226" s="126" t="s">
        <v>1295</v>
      </c>
      <c r="E226" s="118">
        <v>4</v>
      </c>
      <c r="F226" s="117"/>
      <c r="G226" s="117"/>
      <c r="H226" s="120">
        <v>35.44</v>
      </c>
    </row>
    <row r="227" spans="1:8" ht="18" x14ac:dyDescent="0.25">
      <c r="A227" s="116">
        <v>242</v>
      </c>
      <c r="B227" s="126" t="s">
        <v>1300</v>
      </c>
      <c r="C227" s="126" t="s">
        <v>901</v>
      </c>
      <c r="D227" s="126" t="s">
        <v>1301</v>
      </c>
      <c r="E227" s="118">
        <v>6</v>
      </c>
      <c r="F227" s="117"/>
      <c r="G227" s="117"/>
      <c r="H227" s="120">
        <v>52.88</v>
      </c>
    </row>
    <row r="228" spans="1:8" ht="18" x14ac:dyDescent="0.25">
      <c r="A228" s="116">
        <v>243</v>
      </c>
      <c r="B228" s="115" t="s">
        <v>1373</v>
      </c>
      <c r="C228" s="115" t="s">
        <v>1374</v>
      </c>
      <c r="D228" s="115" t="s">
        <v>1375</v>
      </c>
      <c r="E228" s="118">
        <v>5</v>
      </c>
      <c r="F228" s="117"/>
      <c r="G228" s="117"/>
      <c r="H228" s="120">
        <v>35.4</v>
      </c>
    </row>
    <row r="229" spans="1:8" ht="18" x14ac:dyDescent="0.25">
      <c r="A229" s="116">
        <v>244</v>
      </c>
      <c r="B229" s="126" t="s">
        <v>1421</v>
      </c>
      <c r="C229" s="126" t="s">
        <v>901</v>
      </c>
      <c r="D229" s="125" t="s">
        <v>1422</v>
      </c>
      <c r="E229" s="118">
        <v>4</v>
      </c>
      <c r="F229" s="117"/>
      <c r="G229" s="117"/>
      <c r="H229" s="120">
        <v>28.7</v>
      </c>
    </row>
    <row r="230" spans="1:8" ht="18" x14ac:dyDescent="0.25">
      <c r="A230" s="116">
        <v>245</v>
      </c>
      <c r="B230" s="128" t="s">
        <v>1577</v>
      </c>
      <c r="C230" s="126" t="s">
        <v>901</v>
      </c>
      <c r="D230" s="126" t="s">
        <v>1578</v>
      </c>
      <c r="E230" s="118">
        <v>0</v>
      </c>
      <c r="F230" s="117"/>
      <c r="G230" s="117"/>
      <c r="H230" s="120"/>
    </row>
    <row r="231" spans="1:8" ht="18" x14ac:dyDescent="0.25">
      <c r="A231" s="116">
        <v>246</v>
      </c>
      <c r="B231" s="128" t="s">
        <v>1702</v>
      </c>
      <c r="C231" s="126" t="s">
        <v>901</v>
      </c>
      <c r="D231" s="126" t="s">
        <v>1703</v>
      </c>
      <c r="E231" s="118">
        <v>7</v>
      </c>
      <c r="F231" s="117"/>
      <c r="G231" s="117"/>
      <c r="H231" s="120"/>
    </row>
    <row r="232" spans="1:8" ht="18" x14ac:dyDescent="0.25">
      <c r="A232" s="116">
        <v>247</v>
      </c>
      <c r="B232" s="128" t="s">
        <v>1747</v>
      </c>
      <c r="C232" s="128" t="s">
        <v>901</v>
      </c>
      <c r="D232" s="125" t="s">
        <v>1748</v>
      </c>
      <c r="E232" s="118">
        <v>2</v>
      </c>
      <c r="F232" s="117"/>
      <c r="G232" s="117"/>
      <c r="H232" s="120"/>
    </row>
    <row r="233" spans="1:8" ht="18" x14ac:dyDescent="0.25">
      <c r="A233" s="116">
        <v>248</v>
      </c>
      <c r="B233" s="128" t="s">
        <v>1762</v>
      </c>
      <c r="C233" s="128" t="s">
        <v>901</v>
      </c>
      <c r="D233" s="128" t="s">
        <v>1763</v>
      </c>
      <c r="E233" s="118">
        <v>1</v>
      </c>
      <c r="F233" s="117"/>
      <c r="G233" s="117"/>
      <c r="H233" s="120"/>
    </row>
    <row r="234" spans="1:8" ht="18" x14ac:dyDescent="0.25">
      <c r="A234" s="116">
        <v>249</v>
      </c>
      <c r="B234" s="128" t="s">
        <v>1764</v>
      </c>
      <c r="C234" s="128" t="s">
        <v>901</v>
      </c>
      <c r="D234" s="128" t="s">
        <v>1765</v>
      </c>
      <c r="E234" s="118">
        <v>4</v>
      </c>
      <c r="F234" s="117"/>
      <c r="G234" s="117"/>
      <c r="H234" s="120"/>
    </row>
    <row r="235" spans="1:8" ht="18" x14ac:dyDescent="0.25">
      <c r="A235" s="116">
        <v>250</v>
      </c>
      <c r="B235" s="128" t="s">
        <v>2184</v>
      </c>
      <c r="C235" s="128" t="s">
        <v>901</v>
      </c>
      <c r="D235" s="125" t="s">
        <v>2183</v>
      </c>
      <c r="E235" s="118">
        <v>0</v>
      </c>
      <c r="F235" s="117"/>
      <c r="G235" s="117"/>
      <c r="H235" s="120"/>
    </row>
    <row r="236" spans="1:8" ht="18" x14ac:dyDescent="0.25">
      <c r="A236" s="116">
        <v>251</v>
      </c>
      <c r="B236" s="128" t="s">
        <v>2308</v>
      </c>
      <c r="C236" s="128" t="s">
        <v>901</v>
      </c>
      <c r="D236" s="125" t="s">
        <v>2309</v>
      </c>
      <c r="E236" s="118">
        <v>0</v>
      </c>
      <c r="F236" s="117"/>
      <c r="G236" s="117"/>
      <c r="H236" s="120"/>
    </row>
    <row r="237" spans="1:8" ht="18" x14ac:dyDescent="0.25">
      <c r="A237" s="116">
        <v>252</v>
      </c>
      <c r="B237" s="128" t="s">
        <v>2947</v>
      </c>
      <c r="C237" s="128" t="s">
        <v>901</v>
      </c>
      <c r="D237" s="125" t="s">
        <v>2948</v>
      </c>
      <c r="E237" s="118">
        <v>3</v>
      </c>
      <c r="F237" s="117"/>
      <c r="G237" s="117"/>
      <c r="H237" s="120"/>
    </row>
    <row r="238" spans="1:8" ht="18" x14ac:dyDescent="0.25">
      <c r="A238" s="116">
        <v>253</v>
      </c>
      <c r="B238" s="128" t="s">
        <v>2949</v>
      </c>
      <c r="C238" s="128" t="s">
        <v>901</v>
      </c>
      <c r="D238" s="125" t="s">
        <v>2950</v>
      </c>
      <c r="E238" s="118">
        <v>5</v>
      </c>
      <c r="F238" s="117"/>
      <c r="G238" s="117"/>
      <c r="H238" s="120"/>
    </row>
    <row r="239" spans="1:8" ht="18" x14ac:dyDescent="0.25">
      <c r="A239" s="116">
        <v>254</v>
      </c>
      <c r="B239" s="128" t="s">
        <v>2973</v>
      </c>
      <c r="C239" s="128" t="s">
        <v>901</v>
      </c>
      <c r="D239" s="125" t="s">
        <v>2974</v>
      </c>
      <c r="E239" s="118">
        <v>2</v>
      </c>
      <c r="F239" s="117"/>
      <c r="G239" s="117"/>
      <c r="H239" s="120"/>
    </row>
    <row r="240" spans="1:8" ht="18" x14ac:dyDescent="0.25">
      <c r="A240" s="116">
        <v>255</v>
      </c>
      <c r="B240" s="128" t="s">
        <v>3261</v>
      </c>
      <c r="C240" s="128" t="s">
        <v>901</v>
      </c>
      <c r="D240" s="125" t="s">
        <v>3262</v>
      </c>
      <c r="E240" s="118">
        <v>3</v>
      </c>
      <c r="F240" s="117"/>
      <c r="G240" s="117"/>
      <c r="H240" s="120"/>
    </row>
    <row r="241" spans="1:8" ht="18" x14ac:dyDescent="0.25">
      <c r="A241" s="116">
        <v>256</v>
      </c>
      <c r="B241" s="128" t="s">
        <v>3545</v>
      </c>
      <c r="C241" s="128" t="s">
        <v>901</v>
      </c>
      <c r="D241" s="125" t="s">
        <v>3544</v>
      </c>
      <c r="E241" s="118">
        <v>8</v>
      </c>
      <c r="F241" s="117"/>
      <c r="G241" s="117"/>
      <c r="H241" s="120"/>
    </row>
    <row r="242" spans="1:8" ht="18" x14ac:dyDescent="0.25">
      <c r="A242" s="116">
        <v>257</v>
      </c>
      <c r="B242" s="128" t="s">
        <v>3577</v>
      </c>
      <c r="C242" s="128" t="s">
        <v>3578</v>
      </c>
      <c r="D242" s="125" t="s">
        <v>3576</v>
      </c>
      <c r="E242" s="118">
        <v>2</v>
      </c>
      <c r="F242" s="117"/>
      <c r="G242" s="117"/>
      <c r="H242" s="120"/>
    </row>
    <row r="243" spans="1:8" ht="18" x14ac:dyDescent="0.25">
      <c r="A243" s="116">
        <v>258</v>
      </c>
      <c r="B243" s="128" t="s">
        <v>3701</v>
      </c>
      <c r="C243" s="128" t="s">
        <v>901</v>
      </c>
      <c r="D243" s="128" t="s">
        <v>3702</v>
      </c>
      <c r="E243" s="118">
        <v>1</v>
      </c>
      <c r="F243" s="117"/>
      <c r="G243" s="117"/>
      <c r="H243" s="120"/>
    </row>
    <row r="244" spans="1:8" ht="18" x14ac:dyDescent="0.25">
      <c r="A244" s="116">
        <v>259</v>
      </c>
      <c r="B244" s="128" t="s">
        <v>3939</v>
      </c>
      <c r="C244" s="128" t="s">
        <v>901</v>
      </c>
      <c r="D244" s="131" t="s">
        <v>3940</v>
      </c>
      <c r="E244" s="118">
        <v>4</v>
      </c>
      <c r="F244" s="117"/>
      <c r="G244" s="117"/>
      <c r="H244" s="120"/>
    </row>
    <row r="245" spans="1:8" ht="18" x14ac:dyDescent="0.25">
      <c r="A245" s="116">
        <v>260</v>
      </c>
      <c r="B245" s="128" t="s">
        <v>4501</v>
      </c>
      <c r="C245" s="128" t="s">
        <v>901</v>
      </c>
      <c r="D245" s="128" t="s">
        <v>4579</v>
      </c>
      <c r="E245" s="118">
        <v>4</v>
      </c>
      <c r="F245" s="117"/>
      <c r="G245" s="117"/>
      <c r="H245" s="120"/>
    </row>
    <row r="246" spans="1:8" ht="37.5" customHeight="1" x14ac:dyDescent="0.25">
      <c r="A246" s="116">
        <v>265</v>
      </c>
      <c r="B246" s="114" t="s">
        <v>258</v>
      </c>
      <c r="C246" s="114"/>
      <c r="D246" s="114"/>
      <c r="E246" s="114"/>
      <c r="F246" s="117"/>
      <c r="G246" s="117"/>
      <c r="H246" s="120"/>
    </row>
    <row r="247" spans="1:8" ht="18" x14ac:dyDescent="0.25">
      <c r="A247" s="116">
        <v>266</v>
      </c>
      <c r="B247" s="118" t="s">
        <v>1050</v>
      </c>
      <c r="C247" s="122" t="s">
        <v>906</v>
      </c>
      <c r="D247" s="119" t="s">
        <v>984</v>
      </c>
      <c r="E247" s="118">
        <v>2</v>
      </c>
      <c r="F247" s="117"/>
      <c r="G247" s="117"/>
      <c r="H247" s="120">
        <v>51.8</v>
      </c>
    </row>
    <row r="248" spans="1:8" ht="18" x14ac:dyDescent="0.25">
      <c r="A248" s="116">
        <v>267</v>
      </c>
      <c r="B248" s="121" t="s">
        <v>4471</v>
      </c>
      <c r="C248" s="122" t="s">
        <v>906</v>
      </c>
      <c r="D248" s="119"/>
      <c r="E248" s="118">
        <v>4</v>
      </c>
      <c r="F248" s="117"/>
      <c r="G248" s="117"/>
      <c r="H248" s="120"/>
    </row>
    <row r="249" spans="1:8" ht="18" x14ac:dyDescent="0.25">
      <c r="A249" s="116">
        <v>268</v>
      </c>
      <c r="B249" s="118" t="s">
        <v>1051</v>
      </c>
      <c r="C249" s="122" t="s">
        <v>906</v>
      </c>
      <c r="D249" s="119" t="s">
        <v>907</v>
      </c>
      <c r="E249" s="118">
        <v>9</v>
      </c>
      <c r="F249" s="117"/>
      <c r="G249" s="117"/>
      <c r="H249" s="120">
        <v>63.6</v>
      </c>
    </row>
    <row r="250" spans="1:8" ht="18" x14ac:dyDescent="0.25">
      <c r="A250" s="116">
        <v>269</v>
      </c>
      <c r="B250" s="118" t="s">
        <v>1052</v>
      </c>
      <c r="C250" s="122" t="s">
        <v>906</v>
      </c>
      <c r="D250" s="119" t="s">
        <v>985</v>
      </c>
      <c r="E250" s="118">
        <v>4</v>
      </c>
      <c r="F250" s="117"/>
      <c r="G250" s="117"/>
      <c r="H250" s="120">
        <v>52.9</v>
      </c>
    </row>
    <row r="251" spans="1:8" ht="18" x14ac:dyDescent="0.25">
      <c r="A251" s="116">
        <v>270</v>
      </c>
      <c r="B251" s="118" t="s">
        <v>1053</v>
      </c>
      <c r="C251" s="122" t="s">
        <v>906</v>
      </c>
      <c r="D251" s="119" t="s">
        <v>908</v>
      </c>
      <c r="E251" s="118">
        <v>5</v>
      </c>
      <c r="F251" s="117"/>
      <c r="G251" s="117"/>
      <c r="H251" s="120">
        <v>50.6</v>
      </c>
    </row>
    <row r="252" spans="1:8" ht="18" x14ac:dyDescent="0.25">
      <c r="A252" s="116">
        <v>271</v>
      </c>
      <c r="B252" s="121" t="s">
        <v>4259</v>
      </c>
      <c r="C252" s="122" t="s">
        <v>906</v>
      </c>
      <c r="D252" s="119" t="s">
        <v>3367</v>
      </c>
      <c r="E252" s="118">
        <v>15</v>
      </c>
      <c r="F252" s="117"/>
      <c r="G252" s="117"/>
      <c r="H252" s="120">
        <v>61.9</v>
      </c>
    </row>
    <row r="253" spans="1:8" ht="18" x14ac:dyDescent="0.25">
      <c r="A253" s="116">
        <v>272</v>
      </c>
      <c r="B253" s="118"/>
      <c r="C253" s="122"/>
      <c r="D253" s="119"/>
      <c r="E253" s="118"/>
      <c r="F253" s="117"/>
      <c r="G253" s="117"/>
      <c r="H253" s="120"/>
    </row>
    <row r="254" spans="1:8" ht="18" x14ac:dyDescent="0.25">
      <c r="A254" s="116">
        <v>273</v>
      </c>
      <c r="B254" s="118" t="s">
        <v>1054</v>
      </c>
      <c r="C254" s="122" t="s">
        <v>906</v>
      </c>
      <c r="D254" s="119" t="s">
        <v>909</v>
      </c>
      <c r="E254" s="118">
        <v>3</v>
      </c>
      <c r="F254" s="117"/>
      <c r="G254" s="117"/>
      <c r="H254" s="120">
        <v>66.400000000000006</v>
      </c>
    </row>
    <row r="255" spans="1:8" ht="18" x14ac:dyDescent="0.25">
      <c r="A255" s="116">
        <v>274</v>
      </c>
      <c r="B255" s="118" t="s">
        <v>1055</v>
      </c>
      <c r="C255" s="122" t="s">
        <v>906</v>
      </c>
      <c r="D255" s="119" t="s">
        <v>910</v>
      </c>
      <c r="E255" s="118">
        <v>3</v>
      </c>
      <c r="F255" s="117"/>
      <c r="G255" s="117"/>
      <c r="H255" s="120">
        <v>66.400000000000006</v>
      </c>
    </row>
    <row r="256" spans="1:8" ht="18" x14ac:dyDescent="0.25">
      <c r="A256" s="116">
        <v>275</v>
      </c>
      <c r="B256" s="118" t="s">
        <v>1144</v>
      </c>
      <c r="C256" s="122" t="s">
        <v>906</v>
      </c>
      <c r="D256" s="119" t="s">
        <v>1014</v>
      </c>
      <c r="E256" s="118">
        <v>1</v>
      </c>
      <c r="F256" s="117"/>
      <c r="G256" s="117"/>
      <c r="H256" s="120">
        <v>64.7</v>
      </c>
    </row>
    <row r="257" spans="1:8" ht="18" x14ac:dyDescent="0.25">
      <c r="A257" s="116">
        <v>276</v>
      </c>
      <c r="B257" s="118" t="s">
        <v>1145</v>
      </c>
      <c r="C257" s="122" t="s">
        <v>906</v>
      </c>
      <c r="D257" s="119" t="s">
        <v>1013</v>
      </c>
      <c r="E257" s="118">
        <v>1</v>
      </c>
      <c r="F257" s="117"/>
      <c r="G257" s="117"/>
      <c r="H257" s="120">
        <v>66.400000000000006</v>
      </c>
    </row>
    <row r="258" spans="1:8" ht="18" x14ac:dyDescent="0.25">
      <c r="A258" s="116">
        <v>277</v>
      </c>
      <c r="B258" s="121" t="s">
        <v>1126</v>
      </c>
      <c r="C258" s="122" t="s">
        <v>906</v>
      </c>
      <c r="D258" s="119" t="s">
        <v>1127</v>
      </c>
      <c r="E258" s="118">
        <v>2</v>
      </c>
      <c r="F258" s="117"/>
      <c r="G258" s="117"/>
      <c r="H258" s="120">
        <v>64.099999999999994</v>
      </c>
    </row>
    <row r="259" spans="1:8" ht="18" x14ac:dyDescent="0.25">
      <c r="A259" s="116">
        <v>278</v>
      </c>
      <c r="B259" s="126" t="s">
        <v>1157</v>
      </c>
      <c r="C259" s="124" t="s">
        <v>906</v>
      </c>
      <c r="D259" s="125" t="s">
        <v>1158</v>
      </c>
      <c r="E259" s="118">
        <v>0</v>
      </c>
      <c r="F259" s="117"/>
      <c r="G259" s="117"/>
      <c r="H259" s="120">
        <v>66.400000000000006</v>
      </c>
    </row>
    <row r="260" spans="1:8" ht="18" x14ac:dyDescent="0.25">
      <c r="A260" s="116">
        <v>279</v>
      </c>
      <c r="B260" s="128" t="s">
        <v>2509</v>
      </c>
      <c r="C260" s="124" t="s">
        <v>906</v>
      </c>
      <c r="D260" s="125" t="s">
        <v>1192</v>
      </c>
      <c r="E260" s="118">
        <v>6</v>
      </c>
      <c r="F260" s="117"/>
      <c r="G260" s="117"/>
      <c r="H260" s="120">
        <v>49.5</v>
      </c>
    </row>
    <row r="261" spans="1:8" ht="18" x14ac:dyDescent="0.25">
      <c r="A261" s="116">
        <v>280</v>
      </c>
      <c r="B261" s="126" t="s">
        <v>1193</v>
      </c>
      <c r="C261" s="124" t="s">
        <v>906</v>
      </c>
      <c r="D261" s="125" t="s">
        <v>1194</v>
      </c>
      <c r="E261" s="118">
        <v>6</v>
      </c>
      <c r="F261" s="117"/>
      <c r="G261" s="117"/>
      <c r="H261" s="120">
        <v>61.9</v>
      </c>
    </row>
    <row r="262" spans="1:8" ht="18" x14ac:dyDescent="0.25">
      <c r="A262" s="116">
        <v>281</v>
      </c>
      <c r="B262" s="126" t="s">
        <v>1195</v>
      </c>
      <c r="C262" s="124" t="s">
        <v>906</v>
      </c>
      <c r="D262" s="125" t="s">
        <v>1196</v>
      </c>
      <c r="E262" s="118">
        <v>24</v>
      </c>
      <c r="F262" s="117"/>
      <c r="G262" s="117"/>
      <c r="H262" s="120">
        <v>70.900000000000006</v>
      </c>
    </row>
    <row r="263" spans="1:8" ht="18" x14ac:dyDescent="0.25">
      <c r="A263" s="116">
        <v>282</v>
      </c>
      <c r="B263" s="126" t="s">
        <v>1221</v>
      </c>
      <c r="C263" s="124" t="s">
        <v>906</v>
      </c>
      <c r="D263" s="125" t="s">
        <v>1222</v>
      </c>
      <c r="E263" s="118">
        <v>3</v>
      </c>
      <c r="F263" s="117"/>
      <c r="G263" s="117"/>
      <c r="H263" s="120">
        <v>65.3</v>
      </c>
    </row>
    <row r="264" spans="1:8" ht="18" x14ac:dyDescent="0.25">
      <c r="A264" s="116">
        <v>283</v>
      </c>
      <c r="B264" s="128" t="s">
        <v>2650</v>
      </c>
      <c r="C264" s="124" t="s">
        <v>906</v>
      </c>
      <c r="D264" s="125" t="s">
        <v>1223</v>
      </c>
      <c r="E264" s="118">
        <v>0</v>
      </c>
      <c r="F264" s="117"/>
      <c r="G264" s="117"/>
      <c r="H264" s="120">
        <v>49.5</v>
      </c>
    </row>
    <row r="265" spans="1:8" ht="18" x14ac:dyDescent="0.25">
      <c r="A265" s="116">
        <v>284</v>
      </c>
      <c r="B265" s="126" t="s">
        <v>1247</v>
      </c>
      <c r="C265" s="124" t="s">
        <v>906</v>
      </c>
      <c r="D265" s="125" t="s">
        <v>1248</v>
      </c>
      <c r="E265" s="118">
        <v>0</v>
      </c>
      <c r="F265" s="117"/>
      <c r="G265" s="117"/>
      <c r="H265" s="120">
        <v>14.1</v>
      </c>
    </row>
    <row r="266" spans="1:8" ht="18" x14ac:dyDescent="0.25">
      <c r="A266" s="116">
        <v>285</v>
      </c>
      <c r="B266" s="128" t="s">
        <v>1253</v>
      </c>
      <c r="C266" s="124" t="s">
        <v>906</v>
      </c>
      <c r="D266" s="125" t="s">
        <v>1254</v>
      </c>
      <c r="E266" s="118">
        <v>0</v>
      </c>
      <c r="F266" s="117"/>
      <c r="G266" s="117"/>
      <c r="H266" s="120">
        <v>58.5</v>
      </c>
    </row>
    <row r="267" spans="1:8" ht="18" x14ac:dyDescent="0.25">
      <c r="A267" s="116">
        <v>286</v>
      </c>
      <c r="B267" s="126" t="s">
        <v>1255</v>
      </c>
      <c r="C267" s="124" t="s">
        <v>906</v>
      </c>
      <c r="D267" s="125" t="s">
        <v>1256</v>
      </c>
      <c r="E267" s="118">
        <v>10</v>
      </c>
      <c r="F267" s="117"/>
      <c r="G267" s="117"/>
      <c r="H267" s="120">
        <v>70.900000000000006</v>
      </c>
    </row>
    <row r="268" spans="1:8" ht="18" x14ac:dyDescent="0.25">
      <c r="A268" s="116">
        <v>287</v>
      </c>
      <c r="B268" s="126" t="s">
        <v>1309</v>
      </c>
      <c r="C268" s="124" t="s">
        <v>906</v>
      </c>
      <c r="D268" s="125" t="s">
        <v>1098</v>
      </c>
      <c r="E268" s="118">
        <v>9</v>
      </c>
      <c r="F268" s="117"/>
      <c r="G268" s="117"/>
      <c r="H268" s="120">
        <v>66.900000000000006</v>
      </c>
    </row>
    <row r="269" spans="1:8" ht="18" x14ac:dyDescent="0.25">
      <c r="A269" s="116">
        <v>288</v>
      </c>
      <c r="B269" s="128" t="s">
        <v>1749</v>
      </c>
      <c r="C269" s="125" t="s">
        <v>906</v>
      </c>
      <c r="D269" s="125" t="s">
        <v>2826</v>
      </c>
      <c r="E269" s="118">
        <v>9</v>
      </c>
      <c r="F269" s="117"/>
      <c r="G269" s="117"/>
      <c r="H269" s="120"/>
    </row>
    <row r="270" spans="1:8" ht="18" x14ac:dyDescent="0.25">
      <c r="A270" s="116">
        <v>289</v>
      </c>
      <c r="B270" s="128" t="s">
        <v>1750</v>
      </c>
      <c r="C270" s="125" t="s">
        <v>906</v>
      </c>
      <c r="D270" s="125" t="s">
        <v>1751</v>
      </c>
      <c r="E270" s="118">
        <v>2</v>
      </c>
      <c r="F270" s="117"/>
      <c r="G270" s="117"/>
      <c r="H270" s="120"/>
    </row>
    <row r="271" spans="1:8" ht="18" x14ac:dyDescent="0.25">
      <c r="A271" s="116">
        <v>290</v>
      </c>
      <c r="B271" s="128" t="s">
        <v>2198</v>
      </c>
      <c r="C271" s="125" t="s">
        <v>2199</v>
      </c>
      <c r="D271" s="125" t="s">
        <v>2197</v>
      </c>
      <c r="E271" s="118">
        <v>2</v>
      </c>
      <c r="F271" s="117"/>
      <c r="G271" s="117"/>
      <c r="H271" s="120"/>
    </row>
    <row r="272" spans="1:8" ht="18" x14ac:dyDescent="0.25">
      <c r="A272" s="116">
        <v>291</v>
      </c>
      <c r="B272" s="128" t="s">
        <v>2202</v>
      </c>
      <c r="C272" s="125" t="s">
        <v>2199</v>
      </c>
      <c r="D272" s="125" t="s">
        <v>2201</v>
      </c>
      <c r="E272" s="118">
        <v>9</v>
      </c>
      <c r="F272" s="117"/>
      <c r="G272" s="117"/>
      <c r="H272" s="120"/>
    </row>
    <row r="273" spans="1:8" ht="18" x14ac:dyDescent="0.25">
      <c r="A273" s="116">
        <v>292</v>
      </c>
      <c r="B273" s="128" t="s">
        <v>2927</v>
      </c>
      <c r="C273" s="125" t="s">
        <v>2199</v>
      </c>
      <c r="D273" s="125" t="s">
        <v>2928</v>
      </c>
      <c r="E273" s="118">
        <v>1</v>
      </c>
      <c r="F273" s="117"/>
      <c r="G273" s="117"/>
      <c r="H273" s="120"/>
    </row>
    <row r="274" spans="1:8" ht="18" x14ac:dyDescent="0.25">
      <c r="A274" s="116">
        <v>293</v>
      </c>
      <c r="B274" s="128" t="s">
        <v>2929</v>
      </c>
      <c r="C274" s="125" t="s">
        <v>2199</v>
      </c>
      <c r="D274" s="125" t="s">
        <v>2930</v>
      </c>
      <c r="E274" s="118">
        <v>3</v>
      </c>
      <c r="F274" s="117"/>
      <c r="G274" s="117"/>
      <c r="H274" s="120"/>
    </row>
    <row r="275" spans="1:8" ht="18" x14ac:dyDescent="0.25">
      <c r="A275" s="116">
        <v>294</v>
      </c>
      <c r="B275" s="128" t="s">
        <v>2931</v>
      </c>
      <c r="C275" s="125" t="s">
        <v>2199</v>
      </c>
      <c r="D275" s="125" t="s">
        <v>2932</v>
      </c>
      <c r="E275" s="118">
        <v>5</v>
      </c>
      <c r="F275" s="117"/>
      <c r="G275" s="117"/>
      <c r="H275" s="120"/>
    </row>
    <row r="276" spans="1:8" ht="18" x14ac:dyDescent="0.25">
      <c r="A276" s="116">
        <v>295</v>
      </c>
      <c r="B276" s="128" t="s">
        <v>2933</v>
      </c>
      <c r="C276" s="125" t="s">
        <v>2199</v>
      </c>
      <c r="D276" s="125" t="s">
        <v>2934</v>
      </c>
      <c r="E276" s="118">
        <v>5</v>
      </c>
      <c r="F276" s="117"/>
      <c r="G276" s="117"/>
      <c r="H276" s="120"/>
    </row>
    <row r="277" spans="1:8" ht="18" x14ac:dyDescent="0.25">
      <c r="A277" s="116">
        <v>296</v>
      </c>
      <c r="B277" s="128" t="s">
        <v>2983</v>
      </c>
      <c r="C277" s="125" t="s">
        <v>2199</v>
      </c>
      <c r="D277" s="125" t="s">
        <v>2984</v>
      </c>
      <c r="E277" s="118">
        <v>2</v>
      </c>
      <c r="F277" s="117"/>
      <c r="G277" s="117"/>
      <c r="H277" s="120"/>
    </row>
    <row r="278" spans="1:8" ht="18" x14ac:dyDescent="0.25">
      <c r="A278" s="116">
        <v>297</v>
      </c>
      <c r="B278" s="126" t="s">
        <v>2935</v>
      </c>
      <c r="C278" s="125" t="s">
        <v>2199</v>
      </c>
      <c r="D278" s="125" t="s">
        <v>2936</v>
      </c>
      <c r="E278" s="118">
        <v>4</v>
      </c>
      <c r="F278" s="117"/>
      <c r="G278" s="117"/>
      <c r="H278" s="120"/>
    </row>
    <row r="279" spans="1:8" ht="18" x14ac:dyDescent="0.25">
      <c r="A279" s="116">
        <v>298</v>
      </c>
      <c r="B279" s="126" t="s">
        <v>2975</v>
      </c>
      <c r="C279" s="125" t="s">
        <v>2199</v>
      </c>
      <c r="D279" s="125" t="s">
        <v>2976</v>
      </c>
      <c r="E279" s="118">
        <v>2</v>
      </c>
      <c r="F279" s="117"/>
      <c r="G279" s="117"/>
      <c r="H279" s="120"/>
    </row>
    <row r="280" spans="1:8" ht="18" x14ac:dyDescent="0.25">
      <c r="A280" s="116">
        <v>299</v>
      </c>
      <c r="B280" s="126" t="s">
        <v>3236</v>
      </c>
      <c r="C280" s="125" t="s">
        <v>2199</v>
      </c>
      <c r="D280" s="125" t="s">
        <v>3235</v>
      </c>
      <c r="E280" s="118">
        <v>5</v>
      </c>
      <c r="F280" s="117"/>
      <c r="G280" s="117"/>
      <c r="H280" s="120"/>
    </row>
    <row r="281" spans="1:8" ht="18" x14ac:dyDescent="0.25">
      <c r="A281" s="116">
        <v>300</v>
      </c>
      <c r="B281" s="126" t="s">
        <v>3934</v>
      </c>
      <c r="C281" s="143" t="s">
        <v>906</v>
      </c>
      <c r="D281" s="143" t="s">
        <v>1212</v>
      </c>
      <c r="E281" s="118">
        <v>5</v>
      </c>
      <c r="F281" s="117"/>
      <c r="G281" s="117"/>
      <c r="H281" s="120"/>
    </row>
    <row r="282" spans="1:8" ht="18" x14ac:dyDescent="0.25">
      <c r="A282" s="116">
        <v>301</v>
      </c>
      <c r="B282" s="126" t="s">
        <v>4371</v>
      </c>
      <c r="C282" s="143" t="s">
        <v>906</v>
      </c>
      <c r="D282" s="143" t="s">
        <v>4372</v>
      </c>
      <c r="E282" s="118">
        <v>2</v>
      </c>
      <c r="F282" s="117"/>
      <c r="G282" s="117"/>
      <c r="H282" s="120"/>
    </row>
    <row r="283" spans="1:8" ht="18" x14ac:dyDescent="0.25">
      <c r="A283" s="116">
        <v>302</v>
      </c>
      <c r="B283" s="126" t="s">
        <v>4566</v>
      </c>
      <c r="C283" s="143" t="s">
        <v>906</v>
      </c>
      <c r="D283" s="143" t="s">
        <v>4567</v>
      </c>
      <c r="E283" s="118">
        <v>2</v>
      </c>
      <c r="F283" s="117"/>
      <c r="G283" s="117"/>
      <c r="H283" s="120"/>
    </row>
    <row r="284" spans="1:8" ht="18" x14ac:dyDescent="0.25">
      <c r="A284" s="116">
        <v>303</v>
      </c>
      <c r="B284" s="126">
        <v>283</v>
      </c>
      <c r="C284" s="143" t="s">
        <v>906</v>
      </c>
      <c r="D284" s="118"/>
      <c r="E284" s="118"/>
      <c r="F284" s="117"/>
      <c r="G284" s="117"/>
      <c r="H284" s="120"/>
    </row>
    <row r="285" spans="1:8" ht="37.5" customHeight="1" x14ac:dyDescent="0.25">
      <c r="A285" s="116">
        <v>306</v>
      </c>
      <c r="B285" s="172" t="s">
        <v>265</v>
      </c>
      <c r="C285" s="172"/>
      <c r="D285" s="172"/>
      <c r="E285" s="172"/>
      <c r="F285" s="117"/>
      <c r="G285" s="117"/>
      <c r="H285" s="120"/>
    </row>
    <row r="286" spans="1:8" ht="18" x14ac:dyDescent="0.25">
      <c r="A286" s="116">
        <v>308</v>
      </c>
      <c r="B286" s="118" t="s">
        <v>1111</v>
      </c>
      <c r="C286" s="122" t="s">
        <v>265</v>
      </c>
      <c r="D286" s="118" t="s">
        <v>1112</v>
      </c>
      <c r="E286" s="118">
        <v>5</v>
      </c>
      <c r="F286" s="117"/>
      <c r="G286" s="117"/>
      <c r="H286" s="120">
        <v>76.5</v>
      </c>
    </row>
    <row r="287" spans="1:8" ht="18" x14ac:dyDescent="0.25">
      <c r="A287" s="116">
        <v>309</v>
      </c>
      <c r="B287" s="118" t="s">
        <v>911</v>
      </c>
      <c r="C287" s="122" t="s">
        <v>265</v>
      </c>
      <c r="D287" s="118" t="s">
        <v>912</v>
      </c>
      <c r="E287" s="118">
        <v>8</v>
      </c>
      <c r="F287" s="117"/>
      <c r="G287" s="117"/>
      <c r="H287" s="120">
        <v>100.7</v>
      </c>
    </row>
    <row r="288" spans="1:8" ht="18" x14ac:dyDescent="0.25">
      <c r="A288" s="116">
        <v>310</v>
      </c>
      <c r="B288" s="118" t="s">
        <v>913</v>
      </c>
      <c r="C288" s="122" t="s">
        <v>265</v>
      </c>
      <c r="D288" s="118" t="s">
        <v>914</v>
      </c>
      <c r="E288" s="118">
        <v>1</v>
      </c>
      <c r="F288" s="117"/>
      <c r="G288" s="117"/>
      <c r="H288" s="120">
        <v>174.4</v>
      </c>
    </row>
    <row r="289" spans="1:8" ht="18" x14ac:dyDescent="0.25">
      <c r="A289" s="116">
        <v>311</v>
      </c>
      <c r="B289" s="118" t="s">
        <v>915</v>
      </c>
      <c r="C289" s="122" t="s">
        <v>265</v>
      </c>
      <c r="D289" s="118" t="s">
        <v>916</v>
      </c>
      <c r="E289" s="118">
        <v>0</v>
      </c>
      <c r="F289" s="117"/>
      <c r="G289" s="117"/>
      <c r="H289" s="120">
        <v>157.5</v>
      </c>
    </row>
    <row r="290" spans="1:8" ht="18" x14ac:dyDescent="0.25">
      <c r="A290" s="116">
        <v>312</v>
      </c>
      <c r="B290" s="118" t="s">
        <v>917</v>
      </c>
      <c r="C290" s="122" t="s">
        <v>265</v>
      </c>
      <c r="D290" s="118" t="s">
        <v>3884</v>
      </c>
      <c r="E290" s="118">
        <v>5</v>
      </c>
      <c r="F290" s="117"/>
      <c r="G290" s="117"/>
      <c r="H290" s="120">
        <v>90.6</v>
      </c>
    </row>
    <row r="291" spans="1:8" ht="18" x14ac:dyDescent="0.25">
      <c r="A291" s="116">
        <v>313</v>
      </c>
      <c r="B291" s="118" t="s">
        <v>918</v>
      </c>
      <c r="C291" s="122" t="s">
        <v>265</v>
      </c>
      <c r="D291" s="118" t="s">
        <v>919</v>
      </c>
      <c r="E291" s="118">
        <v>0</v>
      </c>
      <c r="F291" s="117"/>
      <c r="G291" s="117"/>
      <c r="H291" s="120">
        <v>72</v>
      </c>
    </row>
    <row r="292" spans="1:8" ht="18" x14ac:dyDescent="0.25">
      <c r="A292" s="116">
        <v>314</v>
      </c>
      <c r="B292" s="118" t="s">
        <v>920</v>
      </c>
      <c r="C292" s="122" t="s">
        <v>265</v>
      </c>
      <c r="D292" s="118" t="s">
        <v>921</v>
      </c>
      <c r="E292" s="118">
        <v>2</v>
      </c>
      <c r="F292" s="117"/>
      <c r="G292" s="117"/>
      <c r="H292" s="120">
        <v>66.900000000000006</v>
      </c>
    </row>
    <row r="293" spans="1:8" ht="18" x14ac:dyDescent="0.25">
      <c r="A293" s="116">
        <v>315</v>
      </c>
      <c r="B293" s="118" t="s">
        <v>922</v>
      </c>
      <c r="C293" s="122" t="s">
        <v>265</v>
      </c>
      <c r="D293" s="118" t="s">
        <v>923</v>
      </c>
      <c r="E293" s="118">
        <v>6</v>
      </c>
      <c r="F293" s="117"/>
      <c r="G293" s="117"/>
      <c r="H293" s="120">
        <v>58.5</v>
      </c>
    </row>
    <row r="294" spans="1:8" ht="18" x14ac:dyDescent="0.25">
      <c r="A294" s="116">
        <v>316</v>
      </c>
      <c r="B294" s="118" t="s">
        <v>924</v>
      </c>
      <c r="C294" s="122" t="s">
        <v>265</v>
      </c>
      <c r="D294" s="118" t="s">
        <v>2648</v>
      </c>
      <c r="E294" s="118">
        <v>0</v>
      </c>
      <c r="F294" s="117"/>
      <c r="G294" s="117"/>
      <c r="H294" s="120">
        <v>72</v>
      </c>
    </row>
    <row r="295" spans="1:8" ht="18" x14ac:dyDescent="0.25">
      <c r="A295" s="116">
        <v>317</v>
      </c>
      <c r="B295" s="118" t="s">
        <v>992</v>
      </c>
      <c r="C295" s="122" t="s">
        <v>265</v>
      </c>
      <c r="D295" s="118" t="s">
        <v>993</v>
      </c>
      <c r="E295" s="118">
        <v>11</v>
      </c>
      <c r="F295" s="117"/>
      <c r="G295" s="117"/>
      <c r="H295" s="120">
        <v>65.3</v>
      </c>
    </row>
    <row r="296" spans="1:8" ht="18" x14ac:dyDescent="0.25">
      <c r="A296" s="116">
        <v>318</v>
      </c>
      <c r="B296" s="118" t="s">
        <v>925</v>
      </c>
      <c r="C296" s="122" t="s">
        <v>265</v>
      </c>
      <c r="D296" s="118" t="s">
        <v>926</v>
      </c>
      <c r="E296" s="118">
        <v>2</v>
      </c>
      <c r="F296" s="117"/>
      <c r="G296" s="117"/>
      <c r="H296" s="120">
        <v>92.3</v>
      </c>
    </row>
    <row r="297" spans="1:8" ht="18" x14ac:dyDescent="0.25">
      <c r="A297" s="116">
        <v>319</v>
      </c>
      <c r="B297" s="118" t="s">
        <v>927</v>
      </c>
      <c r="C297" s="122" t="s">
        <v>265</v>
      </c>
      <c r="D297" s="122" t="s">
        <v>928</v>
      </c>
      <c r="E297" s="118">
        <v>2</v>
      </c>
      <c r="F297" s="117"/>
      <c r="G297" s="117"/>
      <c r="H297" s="120">
        <v>151.9</v>
      </c>
    </row>
    <row r="298" spans="1:8" ht="18" x14ac:dyDescent="0.25">
      <c r="A298" s="116">
        <v>320</v>
      </c>
      <c r="B298" s="118" t="s">
        <v>1074</v>
      </c>
      <c r="C298" s="122" t="s">
        <v>265</v>
      </c>
      <c r="D298" s="118" t="s">
        <v>1075</v>
      </c>
      <c r="E298" s="118">
        <v>5</v>
      </c>
      <c r="F298" s="117"/>
      <c r="G298" s="117"/>
      <c r="H298" s="120">
        <v>64.099999999999994</v>
      </c>
    </row>
    <row r="299" spans="1:8" ht="18" x14ac:dyDescent="0.25">
      <c r="A299" s="116">
        <v>321</v>
      </c>
      <c r="B299" s="118" t="s">
        <v>4359</v>
      </c>
      <c r="C299" s="122" t="s">
        <v>265</v>
      </c>
      <c r="D299" s="118" t="s">
        <v>4360</v>
      </c>
      <c r="E299" s="118">
        <v>2</v>
      </c>
      <c r="F299" s="117"/>
      <c r="G299" s="117"/>
      <c r="H299" s="120"/>
    </row>
    <row r="300" spans="1:8" ht="18" x14ac:dyDescent="0.25">
      <c r="A300" s="116">
        <v>322</v>
      </c>
      <c r="B300" s="118" t="s">
        <v>1113</v>
      </c>
      <c r="C300" s="122" t="s">
        <v>265</v>
      </c>
      <c r="D300" s="118" t="s">
        <v>1114</v>
      </c>
      <c r="E300" s="118">
        <v>2</v>
      </c>
      <c r="F300" s="117"/>
      <c r="G300" s="117"/>
      <c r="H300" s="120">
        <v>68.599999999999994</v>
      </c>
    </row>
    <row r="301" spans="1:8" ht="18" x14ac:dyDescent="0.25">
      <c r="A301" s="116">
        <v>323</v>
      </c>
      <c r="B301" s="126" t="s">
        <v>1197</v>
      </c>
      <c r="C301" s="124" t="s">
        <v>265</v>
      </c>
      <c r="D301" s="126" t="s">
        <v>1217</v>
      </c>
      <c r="E301" s="118">
        <v>3</v>
      </c>
      <c r="F301" s="117"/>
      <c r="G301" s="117"/>
      <c r="H301" s="120">
        <v>59.6</v>
      </c>
    </row>
    <row r="302" spans="1:8" ht="18" x14ac:dyDescent="0.25">
      <c r="A302" s="116">
        <v>324</v>
      </c>
      <c r="B302" s="126" t="s">
        <v>1198</v>
      </c>
      <c r="C302" s="124" t="s">
        <v>265</v>
      </c>
      <c r="D302" s="126" t="s">
        <v>1199</v>
      </c>
      <c r="E302" s="118">
        <v>0</v>
      </c>
      <c r="F302" s="117"/>
      <c r="G302" s="117"/>
      <c r="H302" s="120">
        <v>66.900000000000006</v>
      </c>
    </row>
    <row r="303" spans="1:8" ht="18" x14ac:dyDescent="0.25">
      <c r="A303" s="116">
        <v>325</v>
      </c>
      <c r="B303" s="126" t="s">
        <v>1200</v>
      </c>
      <c r="C303" s="124" t="s">
        <v>265</v>
      </c>
      <c r="D303" s="126" t="s">
        <v>1201</v>
      </c>
      <c r="E303" s="118">
        <v>0</v>
      </c>
      <c r="F303" s="117"/>
      <c r="G303" s="117"/>
      <c r="H303" s="120">
        <v>74.239999999999995</v>
      </c>
    </row>
    <row r="304" spans="1:8" ht="18" x14ac:dyDescent="0.25">
      <c r="A304" s="116">
        <v>326</v>
      </c>
      <c r="B304" s="126" t="s">
        <v>1202</v>
      </c>
      <c r="C304" s="124" t="s">
        <v>265</v>
      </c>
      <c r="D304" s="126" t="s">
        <v>1203</v>
      </c>
      <c r="E304" s="118">
        <v>3</v>
      </c>
      <c r="F304" s="117"/>
      <c r="G304" s="117"/>
      <c r="H304" s="120">
        <v>100.7</v>
      </c>
    </row>
    <row r="305" spans="1:8" ht="18" x14ac:dyDescent="0.25">
      <c r="A305" s="116">
        <v>327</v>
      </c>
      <c r="B305" s="126" t="s">
        <v>1240</v>
      </c>
      <c r="C305" s="124" t="s">
        <v>265</v>
      </c>
      <c r="D305" s="126" t="s">
        <v>1241</v>
      </c>
      <c r="E305" s="118">
        <v>1</v>
      </c>
      <c r="F305" s="117"/>
      <c r="G305" s="117"/>
      <c r="H305" s="120">
        <v>157.5</v>
      </c>
    </row>
    <row r="306" spans="1:8" ht="18" x14ac:dyDescent="0.25">
      <c r="A306" s="116">
        <v>328</v>
      </c>
      <c r="B306" s="126" t="s">
        <v>1245</v>
      </c>
      <c r="C306" s="124" t="s">
        <v>265</v>
      </c>
      <c r="D306" s="126" t="s">
        <v>1246</v>
      </c>
      <c r="E306" s="118">
        <v>1</v>
      </c>
      <c r="F306" s="117"/>
      <c r="G306" s="117"/>
      <c r="H306" s="120">
        <v>97.9</v>
      </c>
    </row>
    <row r="307" spans="1:8" ht="18" x14ac:dyDescent="0.25">
      <c r="A307" s="116">
        <v>329</v>
      </c>
      <c r="B307" s="115" t="s">
        <v>1324</v>
      </c>
      <c r="C307" s="115" t="s">
        <v>1325</v>
      </c>
      <c r="D307" s="115" t="s">
        <v>4163</v>
      </c>
      <c r="E307" s="118">
        <v>1</v>
      </c>
      <c r="F307" s="117"/>
      <c r="G307" s="117"/>
      <c r="H307" s="120">
        <v>174.4</v>
      </c>
    </row>
    <row r="308" spans="1:8" ht="18" x14ac:dyDescent="0.25">
      <c r="A308" s="116">
        <v>330</v>
      </c>
      <c r="B308" s="115" t="s">
        <v>1398</v>
      </c>
      <c r="C308" s="115" t="s">
        <v>1325</v>
      </c>
      <c r="D308" s="115" t="s">
        <v>2740</v>
      </c>
      <c r="E308" s="118">
        <v>2</v>
      </c>
      <c r="F308" s="117"/>
      <c r="G308" s="117"/>
      <c r="H308" s="120"/>
    </row>
    <row r="309" spans="1:8" ht="18" x14ac:dyDescent="0.25">
      <c r="A309" s="116">
        <v>331</v>
      </c>
      <c r="B309" s="126" t="s">
        <v>1416</v>
      </c>
      <c r="C309" s="124" t="s">
        <v>265</v>
      </c>
      <c r="D309" s="126" t="s">
        <v>2398</v>
      </c>
      <c r="E309" s="118">
        <v>13</v>
      </c>
      <c r="F309" s="117"/>
      <c r="G309" s="117"/>
      <c r="H309" s="120">
        <v>107</v>
      </c>
    </row>
    <row r="310" spans="1:8" ht="18" x14ac:dyDescent="0.25">
      <c r="A310" s="116">
        <v>332</v>
      </c>
      <c r="B310" s="126" t="s">
        <v>1579</v>
      </c>
      <c r="C310" s="124" t="s">
        <v>265</v>
      </c>
      <c r="D310" s="126" t="s">
        <v>1580</v>
      </c>
      <c r="E310" s="118">
        <v>2</v>
      </c>
      <c r="F310" s="117"/>
      <c r="G310" s="117"/>
      <c r="H310" s="120"/>
    </row>
    <row r="311" spans="1:8" ht="18" x14ac:dyDescent="0.25">
      <c r="A311" s="116">
        <v>333</v>
      </c>
      <c r="B311" s="126" t="s">
        <v>1581</v>
      </c>
      <c r="C311" s="124" t="s">
        <v>265</v>
      </c>
      <c r="D311" s="126" t="s">
        <v>1582</v>
      </c>
      <c r="E311" s="118">
        <v>6</v>
      </c>
      <c r="F311" s="117"/>
      <c r="G311" s="117"/>
      <c r="H311" s="120"/>
    </row>
    <row r="312" spans="1:8" ht="18" x14ac:dyDescent="0.25">
      <c r="A312" s="116">
        <v>334</v>
      </c>
      <c r="B312" s="126" t="s">
        <v>1594</v>
      </c>
      <c r="C312" s="124" t="s">
        <v>265</v>
      </c>
      <c r="D312" s="126" t="s">
        <v>1595</v>
      </c>
      <c r="E312" s="118">
        <v>0</v>
      </c>
      <c r="F312" s="117"/>
      <c r="G312" s="117"/>
      <c r="H312" s="120"/>
    </row>
    <row r="313" spans="1:8" ht="18" x14ac:dyDescent="0.25">
      <c r="A313" s="116">
        <v>335</v>
      </c>
      <c r="B313" s="126" t="s">
        <v>1873</v>
      </c>
      <c r="C313" s="124" t="s">
        <v>265</v>
      </c>
      <c r="D313" s="126" t="s">
        <v>1874</v>
      </c>
      <c r="E313" s="118">
        <v>8</v>
      </c>
      <c r="F313" s="117"/>
      <c r="G313" s="117"/>
      <c r="H313" s="120"/>
    </row>
    <row r="314" spans="1:8" ht="18" x14ac:dyDescent="0.25">
      <c r="A314" s="116">
        <v>336</v>
      </c>
      <c r="B314" s="126" t="s">
        <v>2712</v>
      </c>
      <c r="C314" s="124" t="s">
        <v>265</v>
      </c>
      <c r="D314" s="126" t="s">
        <v>2711</v>
      </c>
      <c r="E314" s="118">
        <v>1</v>
      </c>
      <c r="F314" s="117"/>
      <c r="G314" s="117"/>
      <c r="H314" s="120"/>
    </row>
    <row r="315" spans="1:8" ht="18" x14ac:dyDescent="0.25">
      <c r="A315" s="116">
        <v>337</v>
      </c>
      <c r="B315" s="126" t="s">
        <v>2944</v>
      </c>
      <c r="C315" s="124" t="s">
        <v>265</v>
      </c>
      <c r="D315" s="126" t="s">
        <v>2943</v>
      </c>
      <c r="E315" s="118">
        <v>6</v>
      </c>
      <c r="F315" s="117"/>
      <c r="G315" s="117"/>
      <c r="H315" s="120"/>
    </row>
    <row r="316" spans="1:8" ht="18" x14ac:dyDescent="0.25">
      <c r="A316" s="116">
        <v>338</v>
      </c>
      <c r="B316" s="126" t="s">
        <v>2969</v>
      </c>
      <c r="C316" s="124" t="s">
        <v>265</v>
      </c>
      <c r="D316" s="126" t="s">
        <v>2971</v>
      </c>
      <c r="E316" s="118">
        <v>7</v>
      </c>
      <c r="F316" s="117"/>
      <c r="G316" s="117"/>
      <c r="H316" s="120"/>
    </row>
    <row r="317" spans="1:8" ht="18" x14ac:dyDescent="0.25">
      <c r="A317" s="116">
        <v>339</v>
      </c>
      <c r="B317" s="126" t="s">
        <v>2970</v>
      </c>
      <c r="C317" s="124" t="s">
        <v>265</v>
      </c>
      <c r="D317" s="126" t="s">
        <v>2972</v>
      </c>
      <c r="E317" s="118">
        <v>6</v>
      </c>
      <c r="F317" s="117"/>
      <c r="G317" s="117"/>
      <c r="H317" s="120"/>
    </row>
    <row r="318" spans="1:8" ht="18" x14ac:dyDescent="0.25">
      <c r="A318" s="116">
        <v>340</v>
      </c>
      <c r="B318" s="126" t="s">
        <v>3680</v>
      </c>
      <c r="C318" s="124" t="s">
        <v>265</v>
      </c>
      <c r="D318" s="126" t="s">
        <v>3681</v>
      </c>
      <c r="E318" s="118">
        <v>2</v>
      </c>
      <c r="F318" s="117"/>
      <c r="G318" s="117"/>
      <c r="H318" s="120"/>
    </row>
    <row r="319" spans="1:8" ht="18" x14ac:dyDescent="0.25">
      <c r="A319" s="116">
        <v>341</v>
      </c>
      <c r="B319" s="126" t="s">
        <v>3941</v>
      </c>
      <c r="C319" s="126" t="s">
        <v>265</v>
      </c>
      <c r="D319" s="126" t="s">
        <v>3942</v>
      </c>
      <c r="E319" s="118">
        <v>2</v>
      </c>
      <c r="F319" s="117"/>
      <c r="G319" s="117"/>
      <c r="H319" s="120"/>
    </row>
    <row r="320" spans="1:8" ht="18" x14ac:dyDescent="0.25">
      <c r="A320" s="116">
        <v>342</v>
      </c>
      <c r="B320" s="131" t="s">
        <v>4382</v>
      </c>
      <c r="C320" s="131" t="s">
        <v>265</v>
      </c>
      <c r="D320" s="126" t="s">
        <v>4383</v>
      </c>
      <c r="E320" s="118"/>
      <c r="F320" s="117"/>
      <c r="G320" s="117"/>
      <c r="H320" s="120"/>
    </row>
    <row r="321" spans="1:8" ht="18" x14ac:dyDescent="0.25">
      <c r="A321" s="116">
        <v>343</v>
      </c>
      <c r="B321" s="144" t="s">
        <v>3943</v>
      </c>
      <c r="C321" s="144" t="s">
        <v>265</v>
      </c>
      <c r="D321" s="145" t="s">
        <v>3944</v>
      </c>
      <c r="E321" s="118">
        <v>0</v>
      </c>
      <c r="F321" s="117"/>
      <c r="G321" s="117"/>
      <c r="H321" s="120"/>
    </row>
    <row r="322" spans="1:8" ht="18" x14ac:dyDescent="0.25">
      <c r="A322" s="116">
        <v>344</v>
      </c>
      <c r="B322" s="118" t="s">
        <v>4359</v>
      </c>
      <c r="C322" s="122" t="s">
        <v>265</v>
      </c>
      <c r="D322" s="118" t="s">
        <v>4360</v>
      </c>
      <c r="E322" s="146">
        <v>2</v>
      </c>
      <c r="F322" s="117"/>
      <c r="G322" s="117"/>
      <c r="H322" s="118">
        <v>2</v>
      </c>
    </row>
    <row r="323" spans="1:8" ht="18" x14ac:dyDescent="0.25">
      <c r="A323" s="116">
        <v>345</v>
      </c>
      <c r="B323" s="118" t="s">
        <v>4429</v>
      </c>
      <c r="C323" s="122" t="s">
        <v>265</v>
      </c>
      <c r="D323" s="118" t="s">
        <v>4649</v>
      </c>
      <c r="E323" s="146">
        <v>1</v>
      </c>
      <c r="F323" s="117"/>
      <c r="G323" s="117"/>
      <c r="H323" s="118"/>
    </row>
    <row r="324" spans="1:8" ht="18" x14ac:dyDescent="0.25">
      <c r="A324" s="116">
        <v>346</v>
      </c>
      <c r="B324" s="118" t="s">
        <v>4441</v>
      </c>
      <c r="C324" s="122"/>
      <c r="D324" s="147" t="s">
        <v>4650</v>
      </c>
      <c r="E324" s="146">
        <v>2</v>
      </c>
      <c r="F324" s="117"/>
      <c r="G324" s="117"/>
      <c r="H324" s="118"/>
    </row>
    <row r="325" spans="1:8" ht="18" x14ac:dyDescent="0.25">
      <c r="A325" s="116">
        <v>347</v>
      </c>
      <c r="B325" s="118" t="s">
        <v>4652</v>
      </c>
      <c r="C325" s="122"/>
      <c r="D325" s="118" t="s">
        <v>4651</v>
      </c>
      <c r="E325" s="146">
        <v>0</v>
      </c>
      <c r="F325" s="117"/>
      <c r="G325" s="117"/>
      <c r="H325" s="118"/>
    </row>
    <row r="326" spans="1:8" ht="39.75" customHeight="1" x14ac:dyDescent="0.25">
      <c r="A326" s="116">
        <v>351</v>
      </c>
      <c r="B326" s="172" t="s">
        <v>400</v>
      </c>
      <c r="C326" s="172"/>
      <c r="D326" s="172"/>
      <c r="E326" s="172"/>
      <c r="F326" s="117"/>
      <c r="G326" s="117"/>
      <c r="H326" s="120"/>
    </row>
    <row r="327" spans="1:8" ht="18" x14ac:dyDescent="0.25">
      <c r="A327" s="116">
        <v>353</v>
      </c>
      <c r="B327" s="118" t="s">
        <v>929</v>
      </c>
      <c r="C327" s="118" t="s">
        <v>930</v>
      </c>
      <c r="D327" s="119" t="s">
        <v>931</v>
      </c>
      <c r="E327" s="118">
        <v>3</v>
      </c>
      <c r="F327" s="117"/>
      <c r="G327" s="117"/>
      <c r="H327" s="120">
        <v>49.5</v>
      </c>
    </row>
    <row r="328" spans="1:8" ht="18" x14ac:dyDescent="0.25">
      <c r="A328" s="116">
        <v>354</v>
      </c>
      <c r="B328" s="118" t="s">
        <v>932</v>
      </c>
      <c r="C328" s="118" t="s">
        <v>930</v>
      </c>
      <c r="D328" s="119" t="s">
        <v>933</v>
      </c>
      <c r="E328" s="118">
        <v>4</v>
      </c>
      <c r="F328" s="117"/>
      <c r="G328" s="117"/>
      <c r="H328" s="120">
        <v>78.2</v>
      </c>
    </row>
    <row r="329" spans="1:8" ht="18" x14ac:dyDescent="0.25">
      <c r="A329" s="116">
        <v>355</v>
      </c>
      <c r="B329" s="118" t="s">
        <v>1031</v>
      </c>
      <c r="C329" s="118" t="s">
        <v>930</v>
      </c>
      <c r="D329" s="119" t="s">
        <v>1030</v>
      </c>
      <c r="E329" s="118">
        <v>1</v>
      </c>
      <c r="F329" s="117"/>
      <c r="G329" s="117"/>
      <c r="H329" s="120">
        <v>65.3</v>
      </c>
    </row>
    <row r="330" spans="1:8" ht="18" x14ac:dyDescent="0.25">
      <c r="A330" s="116">
        <v>356</v>
      </c>
      <c r="B330" s="118" t="s">
        <v>934</v>
      </c>
      <c r="C330" s="118" t="s">
        <v>930</v>
      </c>
      <c r="D330" s="119" t="s">
        <v>988</v>
      </c>
      <c r="E330" s="118">
        <v>2</v>
      </c>
      <c r="F330" s="117"/>
      <c r="G330" s="117"/>
      <c r="H330" s="120">
        <v>75.900000000000006</v>
      </c>
    </row>
    <row r="331" spans="1:8" ht="18" x14ac:dyDescent="0.25">
      <c r="A331" s="116">
        <v>357</v>
      </c>
      <c r="B331" s="118" t="s">
        <v>3615</v>
      </c>
      <c r="C331" s="118" t="s">
        <v>930</v>
      </c>
      <c r="D331" s="148" t="s">
        <v>987</v>
      </c>
      <c r="E331" s="118">
        <v>4</v>
      </c>
      <c r="F331" s="117"/>
      <c r="G331" s="117"/>
      <c r="H331" s="120">
        <v>75.400000000000006</v>
      </c>
    </row>
    <row r="332" spans="1:8" ht="18" x14ac:dyDescent="0.25">
      <c r="A332" s="116">
        <v>358</v>
      </c>
      <c r="B332" s="118" t="s">
        <v>935</v>
      </c>
      <c r="C332" s="118" t="s">
        <v>930</v>
      </c>
      <c r="D332" s="119" t="s">
        <v>936</v>
      </c>
      <c r="E332" s="118">
        <v>0</v>
      </c>
      <c r="F332" s="117"/>
      <c r="G332" s="117"/>
      <c r="H332" s="120">
        <v>126</v>
      </c>
    </row>
    <row r="333" spans="1:8" ht="18" x14ac:dyDescent="0.25">
      <c r="A333" s="116">
        <v>359</v>
      </c>
      <c r="B333" s="118" t="s">
        <v>937</v>
      </c>
      <c r="C333" s="118" t="s">
        <v>930</v>
      </c>
      <c r="D333" s="119" t="s">
        <v>938</v>
      </c>
      <c r="E333" s="118">
        <v>1</v>
      </c>
      <c r="F333" s="117"/>
      <c r="G333" s="117"/>
      <c r="H333" s="120">
        <v>129.4</v>
      </c>
    </row>
    <row r="334" spans="1:8" ht="18" x14ac:dyDescent="0.25">
      <c r="A334" s="116">
        <v>360</v>
      </c>
      <c r="B334" s="118" t="s">
        <v>939</v>
      </c>
      <c r="C334" s="118" t="s">
        <v>930</v>
      </c>
      <c r="D334" s="119" t="s">
        <v>986</v>
      </c>
      <c r="E334" s="118">
        <v>2</v>
      </c>
      <c r="F334" s="117"/>
      <c r="G334" s="117"/>
      <c r="H334" s="120">
        <v>134.4</v>
      </c>
    </row>
    <row r="335" spans="1:8" ht="18" x14ac:dyDescent="0.25">
      <c r="A335" s="116">
        <v>361</v>
      </c>
      <c r="B335" s="118" t="s">
        <v>1008</v>
      </c>
      <c r="C335" s="118" t="s">
        <v>930</v>
      </c>
      <c r="D335" s="119" t="s">
        <v>1009</v>
      </c>
      <c r="E335" s="118">
        <v>3</v>
      </c>
      <c r="F335" s="117"/>
      <c r="G335" s="117"/>
      <c r="H335" s="120">
        <v>45</v>
      </c>
    </row>
    <row r="336" spans="1:8" ht="18" x14ac:dyDescent="0.25">
      <c r="A336" s="116">
        <v>362</v>
      </c>
      <c r="B336" s="118" t="s">
        <v>1010</v>
      </c>
      <c r="C336" s="118" t="s">
        <v>930</v>
      </c>
      <c r="D336" s="119" t="s">
        <v>1011</v>
      </c>
      <c r="E336" s="118">
        <v>3</v>
      </c>
      <c r="F336" s="117"/>
      <c r="G336" s="117"/>
      <c r="H336" s="120">
        <v>45</v>
      </c>
    </row>
    <row r="337" spans="1:8" ht="18" x14ac:dyDescent="0.25">
      <c r="A337" s="116">
        <v>363</v>
      </c>
      <c r="B337" s="118" t="s">
        <v>3925</v>
      </c>
      <c r="C337" s="118" t="s">
        <v>930</v>
      </c>
      <c r="D337" s="149" t="s">
        <v>2248</v>
      </c>
      <c r="E337" s="118">
        <v>1</v>
      </c>
      <c r="F337" s="117"/>
      <c r="G337" s="117"/>
      <c r="H337" s="120">
        <v>49.5</v>
      </c>
    </row>
    <row r="338" spans="1:8" ht="18" x14ac:dyDescent="0.25">
      <c r="A338" s="116">
        <v>364</v>
      </c>
      <c r="B338" s="118" t="s">
        <v>1132</v>
      </c>
      <c r="C338" s="118" t="s">
        <v>930</v>
      </c>
      <c r="D338" s="119" t="s">
        <v>865</v>
      </c>
      <c r="E338" s="118">
        <v>2</v>
      </c>
      <c r="F338" s="117"/>
      <c r="G338" s="117"/>
      <c r="H338" s="120">
        <v>55.7</v>
      </c>
    </row>
    <row r="339" spans="1:8" ht="18" x14ac:dyDescent="0.25">
      <c r="A339" s="116">
        <v>365</v>
      </c>
      <c r="B339" s="118" t="s">
        <v>3616</v>
      </c>
      <c r="C339" s="118" t="s">
        <v>930</v>
      </c>
      <c r="D339" s="119" t="s">
        <v>2649</v>
      </c>
      <c r="E339" s="118">
        <v>9</v>
      </c>
      <c r="F339" s="117"/>
      <c r="G339" s="117"/>
      <c r="H339" s="120"/>
    </row>
    <row r="340" spans="1:8" ht="18" x14ac:dyDescent="0.25">
      <c r="A340" s="116">
        <v>366</v>
      </c>
      <c r="B340" s="118" t="s">
        <v>1133</v>
      </c>
      <c r="C340" s="118" t="s">
        <v>930</v>
      </c>
      <c r="D340" s="119" t="s">
        <v>1134</v>
      </c>
      <c r="E340" s="118">
        <v>2</v>
      </c>
      <c r="F340" s="117"/>
      <c r="G340" s="117"/>
      <c r="H340" s="120">
        <v>149.6</v>
      </c>
    </row>
    <row r="341" spans="1:8" ht="18" x14ac:dyDescent="0.25">
      <c r="A341" s="116">
        <v>367</v>
      </c>
      <c r="B341" s="126" t="s">
        <v>1419</v>
      </c>
      <c r="C341" s="126" t="s">
        <v>930</v>
      </c>
      <c r="D341" s="125" t="s">
        <v>1420</v>
      </c>
      <c r="E341" s="118">
        <v>2</v>
      </c>
      <c r="F341" s="117"/>
      <c r="G341" s="117"/>
      <c r="H341" s="120">
        <v>99.7</v>
      </c>
    </row>
    <row r="342" spans="1:8" ht="18" x14ac:dyDescent="0.25">
      <c r="A342" s="116">
        <v>368</v>
      </c>
      <c r="B342" s="118" t="s">
        <v>1131</v>
      </c>
      <c r="C342" s="118" t="s">
        <v>1847</v>
      </c>
      <c r="D342" s="125" t="s">
        <v>1846</v>
      </c>
      <c r="E342" s="118">
        <v>3</v>
      </c>
      <c r="F342" s="117"/>
      <c r="G342" s="117"/>
      <c r="H342" s="120"/>
    </row>
    <row r="343" spans="1:8" ht="18" x14ac:dyDescent="0.25">
      <c r="A343" s="116">
        <v>369</v>
      </c>
      <c r="B343" s="118" t="s">
        <v>2192</v>
      </c>
      <c r="C343" s="118" t="s">
        <v>2193</v>
      </c>
      <c r="D343" s="125" t="s">
        <v>2191</v>
      </c>
      <c r="E343" s="118">
        <v>2</v>
      </c>
      <c r="F343" s="117"/>
      <c r="G343" s="117"/>
      <c r="H343" s="120"/>
    </row>
    <row r="344" spans="1:8" ht="18" x14ac:dyDescent="0.25">
      <c r="A344" s="116">
        <v>370</v>
      </c>
      <c r="B344" s="126" t="s">
        <v>2375</v>
      </c>
      <c r="C344" s="118" t="s">
        <v>930</v>
      </c>
      <c r="D344" s="118" t="s">
        <v>2376</v>
      </c>
      <c r="E344" s="118">
        <v>5</v>
      </c>
      <c r="F344" s="117"/>
      <c r="G344" s="117"/>
      <c r="H344" s="120"/>
    </row>
    <row r="345" spans="1:8" ht="18" x14ac:dyDescent="0.25">
      <c r="A345" s="116">
        <v>371</v>
      </c>
      <c r="B345" s="126" t="s">
        <v>3269</v>
      </c>
      <c r="C345" s="118" t="s">
        <v>930</v>
      </c>
      <c r="D345" s="118" t="s">
        <v>3270</v>
      </c>
      <c r="E345" s="118">
        <v>0</v>
      </c>
      <c r="F345" s="117"/>
      <c r="G345" s="117"/>
      <c r="H345" s="120"/>
    </row>
    <row r="346" spans="1:8" ht="18" x14ac:dyDescent="0.25">
      <c r="A346" s="116">
        <v>372</v>
      </c>
      <c r="B346" s="126" t="s">
        <v>3957</v>
      </c>
      <c r="C346" s="126" t="s">
        <v>930</v>
      </c>
      <c r="D346" s="117" t="s">
        <v>3958</v>
      </c>
      <c r="E346" s="118">
        <v>1</v>
      </c>
      <c r="F346" s="117"/>
      <c r="G346" s="117"/>
      <c r="H346" s="120"/>
    </row>
    <row r="347" spans="1:8" ht="39" customHeight="1" x14ac:dyDescent="0.25">
      <c r="A347" s="116">
        <v>375</v>
      </c>
      <c r="B347" s="172" t="s">
        <v>4656</v>
      </c>
      <c r="C347" s="172"/>
      <c r="D347" s="172"/>
      <c r="E347" s="172"/>
      <c r="F347" s="117"/>
      <c r="G347" s="117"/>
      <c r="H347" s="120"/>
    </row>
    <row r="348" spans="1:8" ht="18" x14ac:dyDescent="0.25">
      <c r="A348" s="116">
        <v>377</v>
      </c>
      <c r="B348" s="118" t="s">
        <v>940</v>
      </c>
      <c r="C348" s="118" t="s">
        <v>941</v>
      </c>
      <c r="D348" s="119" t="s">
        <v>942</v>
      </c>
      <c r="E348" s="118">
        <v>2</v>
      </c>
      <c r="F348" s="117"/>
      <c r="G348" s="117"/>
      <c r="H348" s="120">
        <v>167.6</v>
      </c>
    </row>
    <row r="349" spans="1:8" ht="18" x14ac:dyDescent="0.25">
      <c r="A349" s="116">
        <v>378</v>
      </c>
      <c r="B349" s="118" t="s">
        <v>943</v>
      </c>
      <c r="C349" s="118" t="s">
        <v>941</v>
      </c>
      <c r="D349" s="119" t="s">
        <v>944</v>
      </c>
      <c r="E349" s="118">
        <v>1</v>
      </c>
      <c r="F349" s="117"/>
      <c r="G349" s="117"/>
      <c r="H349" s="120">
        <v>167.6</v>
      </c>
    </row>
    <row r="350" spans="1:8" ht="18" x14ac:dyDescent="0.25">
      <c r="A350" s="116">
        <v>379</v>
      </c>
      <c r="B350" s="118" t="s">
        <v>1079</v>
      </c>
      <c r="C350" s="118" t="s">
        <v>941</v>
      </c>
      <c r="D350" s="119" t="s">
        <v>1080</v>
      </c>
      <c r="E350" s="118">
        <v>3</v>
      </c>
      <c r="F350" s="117"/>
      <c r="G350" s="117"/>
      <c r="H350" s="120">
        <v>167.6</v>
      </c>
    </row>
    <row r="351" spans="1:8" ht="18" x14ac:dyDescent="0.25">
      <c r="A351" s="116">
        <v>380</v>
      </c>
      <c r="B351" s="126" t="s">
        <v>1423</v>
      </c>
      <c r="C351" s="126" t="s">
        <v>941</v>
      </c>
      <c r="D351" s="125" t="s">
        <v>2305</v>
      </c>
      <c r="E351" s="118">
        <v>2</v>
      </c>
      <c r="F351" s="117"/>
      <c r="G351" s="117"/>
      <c r="H351" s="120"/>
    </row>
    <row r="352" spans="1:8" ht="18" x14ac:dyDescent="0.25">
      <c r="A352" s="116">
        <v>381</v>
      </c>
      <c r="B352" s="118" t="s">
        <v>3914</v>
      </c>
      <c r="C352" s="118"/>
      <c r="D352" s="119" t="s">
        <v>3915</v>
      </c>
      <c r="E352" s="118"/>
      <c r="F352" s="117"/>
      <c r="G352" s="117"/>
      <c r="H352" s="120"/>
    </row>
    <row r="353" spans="1:8" ht="18" x14ac:dyDescent="0.25">
      <c r="A353" s="116">
        <v>382</v>
      </c>
      <c r="B353" s="118" t="s">
        <v>3947</v>
      </c>
      <c r="C353" s="118" t="s">
        <v>941</v>
      </c>
      <c r="D353" s="118" t="s">
        <v>3948</v>
      </c>
      <c r="E353" s="118">
        <v>0</v>
      </c>
      <c r="F353" s="117"/>
      <c r="G353" s="117"/>
      <c r="H353" s="120"/>
    </row>
    <row r="354" spans="1:8" ht="18" x14ac:dyDescent="0.25">
      <c r="A354" s="116">
        <v>383</v>
      </c>
      <c r="B354" s="117" t="s">
        <v>3949</v>
      </c>
      <c r="C354" s="117" t="s">
        <v>941</v>
      </c>
      <c r="D354" s="118" t="s">
        <v>3950</v>
      </c>
      <c r="E354" s="118">
        <v>1</v>
      </c>
      <c r="F354" s="117"/>
      <c r="G354" s="117"/>
      <c r="H354" s="120"/>
    </row>
    <row r="355" spans="1:8" ht="18" x14ac:dyDescent="0.25">
      <c r="A355" s="116">
        <v>384</v>
      </c>
      <c r="B355" s="117" t="s">
        <v>3951</v>
      </c>
      <c r="C355" s="117" t="s">
        <v>941</v>
      </c>
      <c r="D355" s="118" t="s">
        <v>3952</v>
      </c>
      <c r="E355" s="118">
        <v>1</v>
      </c>
      <c r="F355" s="117"/>
      <c r="G355" s="117"/>
      <c r="H355" s="120"/>
    </row>
    <row r="356" spans="1:8" ht="18" x14ac:dyDescent="0.25">
      <c r="A356" s="116">
        <v>385</v>
      </c>
      <c r="B356" s="117" t="s">
        <v>3953</v>
      </c>
      <c r="C356" s="117" t="s">
        <v>941</v>
      </c>
      <c r="D356" s="117" t="s">
        <v>3954</v>
      </c>
      <c r="E356" s="118">
        <v>1</v>
      </c>
      <c r="F356" s="117"/>
      <c r="G356" s="117"/>
      <c r="H356" s="120"/>
    </row>
    <row r="357" spans="1:8" ht="18" x14ac:dyDescent="0.25">
      <c r="A357" s="116">
        <v>386</v>
      </c>
      <c r="B357" s="133" t="s">
        <v>3955</v>
      </c>
      <c r="C357" s="117" t="s">
        <v>941</v>
      </c>
      <c r="D357" s="119" t="s">
        <v>3956</v>
      </c>
      <c r="E357" s="118">
        <v>0</v>
      </c>
      <c r="F357" s="117"/>
      <c r="G357" s="117"/>
      <c r="H357" s="120"/>
    </row>
    <row r="358" spans="1:8" ht="41.25" customHeight="1" x14ac:dyDescent="0.25">
      <c r="A358" s="116">
        <v>389</v>
      </c>
      <c r="B358" s="172" t="s">
        <v>636</v>
      </c>
      <c r="C358" s="172"/>
      <c r="D358" s="172"/>
      <c r="E358" s="172"/>
      <c r="F358" s="117"/>
      <c r="G358" s="117"/>
      <c r="H358" s="120"/>
    </row>
    <row r="359" spans="1:8" ht="18" x14ac:dyDescent="0.25">
      <c r="A359" s="116">
        <v>391</v>
      </c>
      <c r="B359" s="118" t="s">
        <v>945</v>
      </c>
      <c r="C359" s="118" t="s">
        <v>946</v>
      </c>
      <c r="D359" s="140" t="s">
        <v>1318</v>
      </c>
      <c r="E359" s="118">
        <v>5</v>
      </c>
      <c r="F359" s="117"/>
      <c r="G359" s="140" t="s">
        <v>3450</v>
      </c>
      <c r="H359" s="120">
        <v>190.1</v>
      </c>
    </row>
    <row r="360" spans="1:8" ht="18" x14ac:dyDescent="0.25">
      <c r="A360" s="116">
        <v>392</v>
      </c>
      <c r="B360" s="118" t="s">
        <v>947</v>
      </c>
      <c r="C360" s="118" t="s">
        <v>946</v>
      </c>
      <c r="D360" s="140" t="s">
        <v>948</v>
      </c>
      <c r="E360" s="118">
        <v>2</v>
      </c>
      <c r="F360" s="117"/>
      <c r="G360" s="117"/>
      <c r="H360" s="120">
        <v>190.1</v>
      </c>
    </row>
    <row r="361" spans="1:8" ht="18" x14ac:dyDescent="0.25">
      <c r="A361" s="116">
        <v>393</v>
      </c>
      <c r="B361" s="118" t="s">
        <v>1059</v>
      </c>
      <c r="C361" s="118" t="s">
        <v>946</v>
      </c>
      <c r="D361" s="140" t="s">
        <v>1148</v>
      </c>
      <c r="E361" s="118">
        <v>0</v>
      </c>
      <c r="F361" s="117"/>
      <c r="G361" s="117"/>
      <c r="H361" s="120">
        <v>382.5</v>
      </c>
    </row>
    <row r="362" spans="1:8" ht="18" x14ac:dyDescent="0.25">
      <c r="A362" s="116">
        <v>394</v>
      </c>
      <c r="B362" s="118" t="s">
        <v>1060</v>
      </c>
      <c r="C362" s="118" t="s">
        <v>946</v>
      </c>
      <c r="D362" s="140" t="s">
        <v>1149</v>
      </c>
      <c r="E362" s="118">
        <v>1</v>
      </c>
      <c r="F362" s="117"/>
      <c r="G362" s="117"/>
      <c r="H362" s="120">
        <v>335.3</v>
      </c>
    </row>
    <row r="363" spans="1:8" ht="38.25" customHeight="1" x14ac:dyDescent="0.25">
      <c r="A363" s="116">
        <v>398</v>
      </c>
      <c r="B363" s="114" t="s">
        <v>1015</v>
      </c>
      <c r="C363" s="114"/>
      <c r="D363" s="114"/>
      <c r="E363" s="114"/>
      <c r="F363" s="117"/>
      <c r="G363" s="117"/>
      <c r="H363" s="120"/>
    </row>
    <row r="364" spans="1:8" ht="18" x14ac:dyDescent="0.25">
      <c r="A364" s="116">
        <v>399</v>
      </c>
      <c r="B364" s="118" t="s">
        <v>1016</v>
      </c>
      <c r="C364" s="118">
        <v>1204</v>
      </c>
      <c r="D364" s="122" t="s">
        <v>1017</v>
      </c>
      <c r="E364" s="118">
        <v>45</v>
      </c>
      <c r="F364" s="117"/>
      <c r="G364" s="117"/>
      <c r="H364" s="120">
        <v>2.6</v>
      </c>
    </row>
    <row r="365" spans="1:8" ht="18" x14ac:dyDescent="0.25">
      <c r="A365" s="116">
        <v>400</v>
      </c>
      <c r="B365" s="118" t="s">
        <v>1018</v>
      </c>
      <c r="C365" s="122">
        <v>3662</v>
      </c>
      <c r="D365" s="122" t="s">
        <v>1397</v>
      </c>
      <c r="E365" s="118">
        <v>56</v>
      </c>
      <c r="F365" s="117"/>
      <c r="G365" s="117"/>
      <c r="H365" s="120">
        <v>15.2</v>
      </c>
    </row>
    <row r="366" spans="1:8" ht="18" x14ac:dyDescent="0.25">
      <c r="A366" s="116">
        <v>401</v>
      </c>
      <c r="B366" s="118" t="s">
        <v>1019</v>
      </c>
      <c r="C366" s="122">
        <v>1321</v>
      </c>
      <c r="D366" s="122" t="s">
        <v>1020</v>
      </c>
      <c r="E366" s="118">
        <v>26</v>
      </c>
      <c r="F366" s="117"/>
      <c r="G366" s="117"/>
      <c r="H366" s="120">
        <v>10.9</v>
      </c>
    </row>
    <row r="367" spans="1:8" ht="18" x14ac:dyDescent="0.25">
      <c r="A367" s="116">
        <v>402</v>
      </c>
      <c r="B367" s="118" t="s">
        <v>1021</v>
      </c>
      <c r="C367" s="122">
        <v>644</v>
      </c>
      <c r="D367" s="122" t="s">
        <v>1022</v>
      </c>
      <c r="E367" s="122">
        <v>20</v>
      </c>
      <c r="F367" s="117"/>
      <c r="G367" s="117"/>
      <c r="H367" s="120">
        <v>12.9</v>
      </c>
    </row>
    <row r="368" spans="1:8" ht="18" x14ac:dyDescent="0.25">
      <c r="A368" s="116">
        <v>403</v>
      </c>
      <c r="B368" s="118" t="s">
        <v>1023</v>
      </c>
      <c r="C368" s="122">
        <v>3149</v>
      </c>
      <c r="D368" s="122" t="s">
        <v>1024</v>
      </c>
      <c r="E368" s="140">
        <v>35</v>
      </c>
      <c r="F368" s="117"/>
      <c r="G368" s="117"/>
      <c r="H368" s="120">
        <v>3.3</v>
      </c>
    </row>
    <row r="369" spans="1:8" ht="18" x14ac:dyDescent="0.25">
      <c r="A369" s="116">
        <v>404</v>
      </c>
      <c r="B369" s="126" t="s">
        <v>1154</v>
      </c>
      <c r="C369" s="124" t="s">
        <v>1155</v>
      </c>
      <c r="D369" s="124" t="s">
        <v>1156</v>
      </c>
      <c r="E369" s="117">
        <v>28</v>
      </c>
      <c r="F369" s="117"/>
      <c r="G369" s="117"/>
      <c r="H369" s="120"/>
    </row>
    <row r="370" spans="1:8" ht="18" x14ac:dyDescent="0.25">
      <c r="A370" s="116">
        <v>405</v>
      </c>
      <c r="B370" s="126" t="s">
        <v>1163</v>
      </c>
      <c r="C370" s="124" t="s">
        <v>1164</v>
      </c>
      <c r="D370" s="124" t="s">
        <v>2647</v>
      </c>
      <c r="E370" s="133">
        <v>59</v>
      </c>
      <c r="F370" s="117"/>
      <c r="G370" s="117"/>
      <c r="H370" s="120"/>
    </row>
    <row r="371" spans="1:8" ht="18" x14ac:dyDescent="0.25">
      <c r="A371" s="116">
        <v>406</v>
      </c>
      <c r="B371" s="126" t="s">
        <v>1174</v>
      </c>
      <c r="C371" s="124" t="s">
        <v>1175</v>
      </c>
      <c r="D371" s="124" t="s">
        <v>1673</v>
      </c>
      <c r="E371" s="150">
        <v>22</v>
      </c>
      <c r="F371" s="117"/>
      <c r="G371" s="117"/>
      <c r="H371" s="120"/>
    </row>
    <row r="372" spans="1:8" ht="18" x14ac:dyDescent="0.25">
      <c r="A372" s="116">
        <v>407</v>
      </c>
      <c r="B372" s="126" t="s">
        <v>1176</v>
      </c>
      <c r="C372" s="151">
        <v>5277</v>
      </c>
      <c r="D372" s="124" t="s">
        <v>1177</v>
      </c>
      <c r="E372" s="150">
        <v>20</v>
      </c>
      <c r="F372" s="117"/>
      <c r="G372" s="117"/>
      <c r="H372" s="120"/>
    </row>
    <row r="373" spans="1:8" ht="18" x14ac:dyDescent="0.25">
      <c r="A373" s="116">
        <v>408</v>
      </c>
      <c r="B373" s="126" t="s">
        <v>1178</v>
      </c>
      <c r="C373" s="124" t="s">
        <v>1179</v>
      </c>
      <c r="D373" s="124" t="s">
        <v>1180</v>
      </c>
      <c r="E373" s="150">
        <v>14</v>
      </c>
      <c r="F373" s="117"/>
      <c r="G373" s="117"/>
      <c r="H373" s="120"/>
    </row>
    <row r="374" spans="1:8" ht="18" x14ac:dyDescent="0.25">
      <c r="A374" s="116">
        <v>409</v>
      </c>
      <c r="B374" s="126" t="s">
        <v>1181</v>
      </c>
      <c r="C374" s="124" t="s">
        <v>1182</v>
      </c>
      <c r="D374" s="124" t="s">
        <v>2753</v>
      </c>
      <c r="E374" s="150">
        <v>41</v>
      </c>
      <c r="F374" s="117"/>
      <c r="G374" s="117"/>
      <c r="H374" s="120"/>
    </row>
    <row r="375" spans="1:8" ht="18" x14ac:dyDescent="0.25">
      <c r="A375" s="116">
        <v>410</v>
      </c>
      <c r="B375" s="126" t="s">
        <v>1183</v>
      </c>
      <c r="C375" s="124"/>
      <c r="D375" s="124" t="s">
        <v>1184</v>
      </c>
      <c r="E375" s="150">
        <v>35</v>
      </c>
      <c r="F375" s="117"/>
      <c r="G375" s="117"/>
      <c r="H375" s="120"/>
    </row>
    <row r="376" spans="1:8" ht="18" x14ac:dyDescent="0.25">
      <c r="A376" s="116">
        <v>411</v>
      </c>
      <c r="B376" s="126" t="s">
        <v>1286</v>
      </c>
      <c r="C376" s="124" t="s">
        <v>1287</v>
      </c>
      <c r="D376" s="124" t="s">
        <v>1288</v>
      </c>
      <c r="E376" s="150">
        <v>34</v>
      </c>
      <c r="F376" s="117"/>
      <c r="G376" s="117"/>
      <c r="H376" s="120"/>
    </row>
    <row r="377" spans="1:8" ht="18" x14ac:dyDescent="0.25">
      <c r="A377" s="116">
        <v>412</v>
      </c>
      <c r="B377" s="126" t="s">
        <v>1306</v>
      </c>
      <c r="C377" s="124" t="s">
        <v>1307</v>
      </c>
      <c r="D377" s="124" t="s">
        <v>1308</v>
      </c>
      <c r="E377" s="150">
        <v>11</v>
      </c>
      <c r="F377" s="117"/>
      <c r="G377" s="117"/>
      <c r="H377" s="120"/>
    </row>
    <row r="378" spans="1:8" ht="18" x14ac:dyDescent="0.25">
      <c r="A378" s="116">
        <v>413</v>
      </c>
      <c r="B378" s="126" t="s">
        <v>1319</v>
      </c>
      <c r="C378" s="124" t="s">
        <v>1320</v>
      </c>
      <c r="D378" s="124" t="s">
        <v>2752</v>
      </c>
      <c r="E378" s="150">
        <v>40</v>
      </c>
      <c r="F378" s="117"/>
      <c r="G378" s="117"/>
      <c r="H378" s="120"/>
    </row>
    <row r="379" spans="1:8" ht="18" x14ac:dyDescent="0.25">
      <c r="A379" s="116">
        <v>414</v>
      </c>
      <c r="B379" s="115" t="s">
        <v>1368</v>
      </c>
      <c r="C379" s="152">
        <v>7359</v>
      </c>
      <c r="D379" s="115" t="s">
        <v>1369</v>
      </c>
      <c r="E379" s="150">
        <v>7</v>
      </c>
      <c r="F379" s="117"/>
      <c r="G379" s="117"/>
      <c r="H379" s="120"/>
    </row>
    <row r="380" spans="1:8" ht="18" x14ac:dyDescent="0.25">
      <c r="A380" s="116">
        <v>415</v>
      </c>
      <c r="B380" s="115" t="s">
        <v>1694</v>
      </c>
      <c r="C380" s="117"/>
      <c r="D380" s="153" t="s">
        <v>1695</v>
      </c>
      <c r="E380" s="150">
        <v>10</v>
      </c>
      <c r="F380" s="117"/>
      <c r="G380" s="117"/>
      <c r="H380" s="120"/>
    </row>
    <row r="381" spans="1:8" ht="18" x14ac:dyDescent="0.25">
      <c r="A381" s="116">
        <v>416</v>
      </c>
      <c r="B381" s="115" t="s">
        <v>1700</v>
      </c>
      <c r="C381" s="117"/>
      <c r="D381" s="153" t="s">
        <v>1701</v>
      </c>
      <c r="E381" s="150">
        <v>0</v>
      </c>
      <c r="F381" s="117"/>
      <c r="G381" s="117"/>
      <c r="H381" s="120"/>
    </row>
    <row r="382" spans="1:8" ht="18" x14ac:dyDescent="0.25">
      <c r="A382" s="116">
        <v>417</v>
      </c>
      <c r="B382" s="126" t="s">
        <v>1306</v>
      </c>
      <c r="C382" s="124" t="s">
        <v>1307</v>
      </c>
      <c r="D382" s="124" t="s">
        <v>1308</v>
      </c>
      <c r="E382" s="154">
        <v>10</v>
      </c>
      <c r="F382" s="117"/>
      <c r="G382" s="117"/>
      <c r="H382" s="120"/>
    </row>
    <row r="383" spans="1:8" ht="18" x14ac:dyDescent="0.25">
      <c r="A383" s="116">
        <v>418</v>
      </c>
      <c r="B383" s="115" t="s">
        <v>1404</v>
      </c>
      <c r="C383" s="155"/>
      <c r="D383" s="115" t="s">
        <v>1405</v>
      </c>
      <c r="E383" s="154">
        <v>10</v>
      </c>
      <c r="F383" s="117"/>
      <c r="G383" s="117"/>
      <c r="H383" s="120"/>
    </row>
    <row r="384" spans="1:8" ht="18" x14ac:dyDescent="0.25">
      <c r="A384" s="116">
        <v>419</v>
      </c>
      <c r="B384" s="117"/>
      <c r="C384" s="117"/>
      <c r="D384" s="122"/>
      <c r="E384" s="140"/>
      <c r="F384" s="117"/>
      <c r="G384" s="117"/>
      <c r="H384" s="120"/>
    </row>
    <row r="385" spans="1:8" ht="18" x14ac:dyDescent="0.25">
      <c r="A385" s="116">
        <v>420</v>
      </c>
      <c r="B385" s="118" t="s">
        <v>1025</v>
      </c>
      <c r="C385" s="140" t="s">
        <v>1026</v>
      </c>
      <c r="D385" s="140" t="s">
        <v>1027</v>
      </c>
      <c r="E385" s="140">
        <v>0</v>
      </c>
      <c r="F385" s="117"/>
      <c r="G385" s="117"/>
      <c r="H385" s="120">
        <v>5.2</v>
      </c>
    </row>
    <row r="386" spans="1:8" ht="18" x14ac:dyDescent="0.25">
      <c r="A386" s="116">
        <v>421</v>
      </c>
      <c r="B386" s="118" t="s">
        <v>1028</v>
      </c>
      <c r="C386" s="140" t="s">
        <v>1026</v>
      </c>
      <c r="D386" s="140" t="s">
        <v>1029</v>
      </c>
      <c r="E386" s="140">
        <v>32</v>
      </c>
      <c r="F386" s="117"/>
      <c r="G386" s="117"/>
      <c r="H386" s="120">
        <v>5.2</v>
      </c>
    </row>
    <row r="387" spans="1:8" ht="18" x14ac:dyDescent="0.25">
      <c r="A387" s="116">
        <v>422</v>
      </c>
      <c r="B387" s="126" t="s">
        <v>1269</v>
      </c>
      <c r="C387" s="139" t="s">
        <v>1026</v>
      </c>
      <c r="D387" s="139" t="s">
        <v>1270</v>
      </c>
      <c r="E387" s="140">
        <v>33</v>
      </c>
      <c r="F387" s="117"/>
      <c r="G387" s="117"/>
      <c r="H387" s="117"/>
    </row>
    <row r="388" spans="1:8" ht="18.75" x14ac:dyDescent="0.25">
      <c r="A388" s="116">
        <v>423</v>
      </c>
      <c r="B388" s="126" t="s">
        <v>1317</v>
      </c>
      <c r="C388" s="140" t="s">
        <v>1026</v>
      </c>
      <c r="D388" s="156" t="s">
        <v>1318</v>
      </c>
      <c r="E388" s="140">
        <v>0</v>
      </c>
      <c r="F388" s="117"/>
      <c r="G388" s="117"/>
      <c r="H388" s="157">
        <v>5.2</v>
      </c>
    </row>
    <row r="389" spans="1:8" ht="18" x14ac:dyDescent="0.25">
      <c r="A389" s="116">
        <v>424</v>
      </c>
      <c r="B389" s="128" t="s">
        <v>1766</v>
      </c>
      <c r="C389" s="128">
        <v>1400</v>
      </c>
      <c r="D389" s="125" t="s">
        <v>1767</v>
      </c>
      <c r="E389" s="140">
        <v>14</v>
      </c>
      <c r="F389" s="117"/>
      <c r="G389" s="117"/>
      <c r="H389" s="117"/>
    </row>
    <row r="390" spans="1:8" ht="18" x14ac:dyDescent="0.25">
      <c r="A390" s="116">
        <v>425</v>
      </c>
      <c r="B390" s="128" t="s">
        <v>4570</v>
      </c>
      <c r="C390" s="128" t="s">
        <v>1026</v>
      </c>
      <c r="D390" s="125" t="s">
        <v>1709</v>
      </c>
      <c r="E390" s="140">
        <v>0</v>
      </c>
      <c r="F390" s="117"/>
      <c r="G390" s="117"/>
      <c r="H390" s="117"/>
    </row>
    <row r="391" spans="1:8" ht="18" x14ac:dyDescent="0.25">
      <c r="A391" s="116">
        <v>426</v>
      </c>
      <c r="B391" s="128"/>
      <c r="C391" s="128"/>
      <c r="D391" s="125"/>
      <c r="E391" s="140"/>
      <c r="F391" s="117"/>
      <c r="G391" s="117"/>
      <c r="H391" s="117"/>
    </row>
    <row r="392" spans="1:8" x14ac:dyDescent="0.25">
      <c r="A392" s="116">
        <v>427</v>
      </c>
      <c r="B392" s="117"/>
      <c r="C392" s="117"/>
      <c r="D392" s="117"/>
      <c r="E392" s="117"/>
      <c r="F392" s="117"/>
      <c r="G392" s="117"/>
      <c r="H392" s="117"/>
    </row>
    <row r="393" spans="1:8" ht="18" x14ac:dyDescent="0.25">
      <c r="A393" s="116">
        <v>428</v>
      </c>
      <c r="B393" s="118" t="s">
        <v>1057</v>
      </c>
      <c r="C393" s="119" t="s">
        <v>1058</v>
      </c>
      <c r="D393" s="119" t="s">
        <v>2378</v>
      </c>
      <c r="E393" s="118">
        <v>7</v>
      </c>
      <c r="F393" s="117"/>
      <c r="G393" s="117"/>
      <c r="H393" s="118">
        <v>16</v>
      </c>
    </row>
    <row r="394" spans="1:8" ht="18" x14ac:dyDescent="0.25">
      <c r="A394" s="116">
        <v>429</v>
      </c>
      <c r="B394" s="118" t="s">
        <v>1057</v>
      </c>
      <c r="C394" s="119" t="s">
        <v>1058</v>
      </c>
      <c r="D394" s="119" t="s">
        <v>1583</v>
      </c>
      <c r="E394" s="118">
        <v>24</v>
      </c>
      <c r="F394" s="117"/>
      <c r="G394" s="117"/>
      <c r="H394" s="118"/>
    </row>
    <row r="395" spans="1:8" ht="18" x14ac:dyDescent="0.25">
      <c r="A395" s="116">
        <v>430</v>
      </c>
      <c r="B395" s="122" t="s">
        <v>1064</v>
      </c>
      <c r="C395" s="118"/>
      <c r="D395" s="118" t="s">
        <v>1065</v>
      </c>
      <c r="E395" s="118">
        <v>0</v>
      </c>
      <c r="F395" s="117"/>
      <c r="G395" s="117"/>
      <c r="H395" s="118">
        <v>4.5</v>
      </c>
    </row>
    <row r="396" spans="1:8" ht="18" x14ac:dyDescent="0.25">
      <c r="A396" s="116">
        <v>431</v>
      </c>
      <c r="B396" s="122" t="s">
        <v>1066</v>
      </c>
      <c r="C396" s="118"/>
      <c r="D396" s="118" t="s">
        <v>1067</v>
      </c>
      <c r="E396" s="118">
        <v>130</v>
      </c>
      <c r="F396" s="117"/>
      <c r="G396" s="117"/>
      <c r="H396" s="118">
        <v>3</v>
      </c>
    </row>
    <row r="397" spans="1:8" ht="18" x14ac:dyDescent="0.25">
      <c r="A397" s="116">
        <v>432</v>
      </c>
      <c r="B397" s="117"/>
      <c r="C397" s="117"/>
      <c r="D397" s="118"/>
      <c r="E397" s="118"/>
      <c r="F397" s="117"/>
      <c r="G397" s="117"/>
      <c r="H397" s="118"/>
    </row>
    <row r="398" spans="1:8" ht="18" x14ac:dyDescent="0.25">
      <c r="A398" s="116">
        <v>433</v>
      </c>
      <c r="B398" s="118"/>
      <c r="C398" s="118"/>
      <c r="D398" s="118"/>
      <c r="E398" s="118"/>
      <c r="F398" s="117"/>
      <c r="G398" s="117"/>
      <c r="H398" s="118"/>
    </row>
    <row r="399" spans="1:8" ht="18" x14ac:dyDescent="0.25">
      <c r="A399" s="116">
        <v>434</v>
      </c>
      <c r="B399" s="122" t="s">
        <v>1146</v>
      </c>
      <c r="C399" s="122" t="s">
        <v>1070</v>
      </c>
      <c r="D399" s="119" t="s">
        <v>1071</v>
      </c>
      <c r="E399" s="118">
        <v>9</v>
      </c>
      <c r="F399" s="117"/>
      <c r="G399" s="117"/>
      <c r="H399" s="118">
        <v>54</v>
      </c>
    </row>
    <row r="400" spans="1:8" ht="36.75" customHeight="1" x14ac:dyDescent="0.25">
      <c r="A400" s="116">
        <v>436</v>
      </c>
      <c r="B400" s="172" t="s">
        <v>266</v>
      </c>
      <c r="C400" s="172"/>
      <c r="D400" s="172"/>
      <c r="E400" s="172"/>
      <c r="F400" s="117"/>
      <c r="G400" s="117"/>
      <c r="H400" s="154"/>
    </row>
    <row r="401" spans="1:8" ht="15.75" x14ac:dyDescent="0.25">
      <c r="A401" s="116">
        <v>437</v>
      </c>
      <c r="B401" s="158" t="s">
        <v>1276</v>
      </c>
      <c r="C401" s="144" t="s">
        <v>266</v>
      </c>
      <c r="D401" s="130" t="s">
        <v>1225</v>
      </c>
      <c r="E401" s="154">
        <v>3</v>
      </c>
      <c r="F401" s="117"/>
      <c r="G401" s="117"/>
      <c r="H401" s="154">
        <v>83.25</v>
      </c>
    </row>
    <row r="402" spans="1:8" ht="15.75" x14ac:dyDescent="0.25">
      <c r="A402" s="116">
        <v>438</v>
      </c>
      <c r="B402" s="158" t="s">
        <v>1277</v>
      </c>
      <c r="C402" s="159" t="s">
        <v>1224</v>
      </c>
      <c r="D402" s="130" t="s">
        <v>1226</v>
      </c>
      <c r="E402" s="154">
        <v>0</v>
      </c>
      <c r="F402" s="117"/>
      <c r="G402" s="117"/>
      <c r="H402" s="154">
        <v>78.19</v>
      </c>
    </row>
    <row r="403" spans="1:8" ht="15.75" x14ac:dyDescent="0.25">
      <c r="A403" s="116">
        <v>439</v>
      </c>
      <c r="B403" s="158" t="s">
        <v>1278</v>
      </c>
      <c r="C403" s="159" t="s">
        <v>1224</v>
      </c>
      <c r="D403" s="130" t="s">
        <v>1227</v>
      </c>
      <c r="E403" s="154">
        <v>3</v>
      </c>
      <c r="F403" s="117"/>
      <c r="G403" s="117"/>
      <c r="H403" s="154">
        <v>78.19</v>
      </c>
    </row>
    <row r="404" spans="1:8" ht="15.75" x14ac:dyDescent="0.25">
      <c r="A404" s="116">
        <v>440</v>
      </c>
      <c r="B404" s="124" t="s">
        <v>1588</v>
      </c>
      <c r="C404" s="159" t="s">
        <v>1224</v>
      </c>
      <c r="D404" s="125" t="s">
        <v>4601</v>
      </c>
      <c r="E404" s="154">
        <v>1</v>
      </c>
      <c r="F404" s="117"/>
      <c r="G404" s="117"/>
      <c r="H404" s="154"/>
    </row>
    <row r="405" spans="1:8" ht="15.75" x14ac:dyDescent="0.25">
      <c r="A405" s="116">
        <v>441</v>
      </c>
      <c r="B405" s="125" t="s">
        <v>1745</v>
      </c>
      <c r="C405" s="139" t="s">
        <v>1224</v>
      </c>
      <c r="D405" s="125" t="s">
        <v>1746</v>
      </c>
      <c r="E405" s="154">
        <v>2</v>
      </c>
      <c r="F405" s="117"/>
      <c r="G405" s="117"/>
      <c r="H405" s="154"/>
    </row>
    <row r="406" spans="1:8" ht="15.75" x14ac:dyDescent="0.25">
      <c r="A406" s="116">
        <v>442</v>
      </c>
      <c r="B406" s="158" t="s">
        <v>2307</v>
      </c>
      <c r="C406" s="137" t="s">
        <v>1224</v>
      </c>
      <c r="D406" s="130" t="s">
        <v>2306</v>
      </c>
      <c r="E406" s="154">
        <v>6</v>
      </c>
      <c r="F406" s="117"/>
      <c r="G406" s="117"/>
      <c r="H406" s="154"/>
    </row>
    <row r="407" spans="1:8" ht="15.75" x14ac:dyDescent="0.25">
      <c r="A407" s="116">
        <v>443</v>
      </c>
      <c r="B407" s="158" t="s">
        <v>2766</v>
      </c>
      <c r="C407" s="159" t="s">
        <v>1224</v>
      </c>
      <c r="D407" s="130" t="s">
        <v>2765</v>
      </c>
      <c r="E407" s="154">
        <v>3</v>
      </c>
      <c r="F407" s="117"/>
      <c r="G407" s="117"/>
      <c r="H407" s="154"/>
    </row>
    <row r="408" spans="1:8" ht="15.75" x14ac:dyDescent="0.25">
      <c r="A408" s="116">
        <v>444</v>
      </c>
      <c r="B408" s="158" t="s">
        <v>3153</v>
      </c>
      <c r="C408" s="159" t="s">
        <v>2767</v>
      </c>
      <c r="D408" s="130" t="s">
        <v>3154</v>
      </c>
      <c r="E408" s="154">
        <v>4</v>
      </c>
      <c r="F408" s="117"/>
      <c r="G408" s="117"/>
      <c r="H408" s="154"/>
    </row>
    <row r="409" spans="1:8" ht="15.75" x14ac:dyDescent="0.25">
      <c r="A409" s="116">
        <v>445</v>
      </c>
      <c r="B409" s="158" t="s">
        <v>4564</v>
      </c>
      <c r="C409" s="159" t="s">
        <v>1224</v>
      </c>
      <c r="D409" s="130" t="s">
        <v>4565</v>
      </c>
      <c r="E409" s="154">
        <v>3</v>
      </c>
      <c r="F409" s="117"/>
      <c r="G409" s="117"/>
      <c r="H409" s="154"/>
    </row>
    <row r="410" spans="1:8" ht="15.75" x14ac:dyDescent="0.25">
      <c r="A410" s="116">
        <v>446</v>
      </c>
      <c r="B410" s="158"/>
      <c r="C410" s="159"/>
      <c r="D410" s="130"/>
      <c r="E410" s="154"/>
      <c r="F410" s="117"/>
      <c r="G410" s="117"/>
      <c r="H410" s="154"/>
    </row>
    <row r="411" spans="1:8" ht="15.75" x14ac:dyDescent="0.25">
      <c r="A411" s="116">
        <v>447</v>
      </c>
      <c r="B411" s="117"/>
      <c r="C411" s="159"/>
      <c r="D411" s="125"/>
      <c r="E411" s="154"/>
      <c r="F411" s="117"/>
      <c r="G411" s="117"/>
      <c r="H411" s="154"/>
    </row>
    <row r="412" spans="1:8" ht="15.75" x14ac:dyDescent="0.25">
      <c r="A412" s="116">
        <v>448</v>
      </c>
      <c r="B412" s="125"/>
      <c r="C412" s="137"/>
      <c r="D412" s="154"/>
      <c r="E412" s="154"/>
      <c r="F412" s="117"/>
      <c r="G412" s="117"/>
      <c r="H412" s="154"/>
    </row>
    <row r="413" spans="1:8" ht="15.75" x14ac:dyDescent="0.25">
      <c r="A413" s="116">
        <v>449</v>
      </c>
      <c r="B413" s="158" t="s">
        <v>1279</v>
      </c>
      <c r="C413" s="158" t="s">
        <v>1070</v>
      </c>
      <c r="D413" s="130" t="s">
        <v>1239</v>
      </c>
      <c r="E413" s="160">
        <v>3</v>
      </c>
      <c r="F413" s="117"/>
      <c r="G413" s="117"/>
      <c r="H413" s="154">
        <v>55</v>
      </c>
    </row>
    <row r="414" spans="1:8" ht="30" x14ac:dyDescent="0.25">
      <c r="A414" s="116">
        <v>451</v>
      </c>
      <c r="B414" s="158" t="s">
        <v>1280</v>
      </c>
      <c r="C414" s="158" t="s">
        <v>1070</v>
      </c>
      <c r="D414" s="130" t="s">
        <v>1251</v>
      </c>
      <c r="E414" s="160">
        <v>11</v>
      </c>
      <c r="F414" s="117"/>
      <c r="G414" s="117"/>
      <c r="H414" s="154">
        <v>56.3</v>
      </c>
    </row>
    <row r="415" spans="1:8" ht="15.75" x14ac:dyDescent="0.25">
      <c r="A415" s="116">
        <v>452</v>
      </c>
      <c r="B415" s="124" t="s">
        <v>1596</v>
      </c>
      <c r="C415" s="124" t="s">
        <v>1070</v>
      </c>
      <c r="D415" s="125" t="s">
        <v>1597</v>
      </c>
      <c r="E415" s="160">
        <v>5</v>
      </c>
      <c r="F415" s="117"/>
      <c r="G415" s="117"/>
      <c r="H415" s="154"/>
    </row>
    <row r="416" spans="1:8" ht="15.75" x14ac:dyDescent="0.25">
      <c r="A416" s="116">
        <v>453</v>
      </c>
      <c r="B416" s="161" t="s">
        <v>1271</v>
      </c>
      <c r="C416" s="144"/>
      <c r="D416" s="162" t="s">
        <v>1272</v>
      </c>
      <c r="E416" s="160">
        <v>5</v>
      </c>
      <c r="F416" s="117"/>
      <c r="G416" s="117"/>
      <c r="H416" s="154">
        <v>9</v>
      </c>
    </row>
    <row r="417" spans="1:8" ht="15.75" x14ac:dyDescent="0.25">
      <c r="A417" s="116">
        <v>454</v>
      </c>
      <c r="B417" s="115" t="s">
        <v>1370</v>
      </c>
      <c r="C417" s="115" t="s">
        <v>1371</v>
      </c>
      <c r="D417" s="115" t="s">
        <v>1372</v>
      </c>
      <c r="E417" s="154">
        <v>4</v>
      </c>
      <c r="F417" s="117"/>
      <c r="G417" s="117"/>
      <c r="H417" s="154">
        <v>56.3</v>
      </c>
    </row>
    <row r="418" spans="1:8" ht="15.75" x14ac:dyDescent="0.25">
      <c r="A418" s="116">
        <v>455</v>
      </c>
      <c r="B418" s="161" t="s">
        <v>1273</v>
      </c>
      <c r="C418" s="144"/>
      <c r="D418" s="162" t="s">
        <v>1274</v>
      </c>
      <c r="E418" s="154">
        <v>33</v>
      </c>
      <c r="F418" s="117"/>
      <c r="G418" s="117"/>
      <c r="H418" s="154">
        <v>4.3</v>
      </c>
    </row>
    <row r="419" spans="1:8" ht="15.75" x14ac:dyDescent="0.25">
      <c r="A419" s="116">
        <v>456</v>
      </c>
      <c r="B419" s="161" t="s">
        <v>1273</v>
      </c>
      <c r="C419" s="144"/>
      <c r="D419" s="162" t="s">
        <v>1275</v>
      </c>
      <c r="E419" s="154">
        <v>27</v>
      </c>
      <c r="F419" s="117"/>
      <c r="G419" s="117"/>
      <c r="H419" s="154">
        <v>4.3</v>
      </c>
    </row>
    <row r="420" spans="1:8" ht="15.75" x14ac:dyDescent="0.25">
      <c r="A420" s="116">
        <v>457</v>
      </c>
      <c r="B420" s="124" t="s">
        <v>1302</v>
      </c>
      <c r="C420" s="131"/>
      <c r="D420" s="126" t="s">
        <v>1303</v>
      </c>
      <c r="E420" s="154">
        <v>11</v>
      </c>
      <c r="F420" s="117"/>
      <c r="G420" s="117"/>
      <c r="H420" s="154">
        <v>11.5</v>
      </c>
    </row>
    <row r="421" spans="1:8" ht="15.75" x14ac:dyDescent="0.25">
      <c r="A421" s="116">
        <v>458</v>
      </c>
      <c r="B421" s="163" t="s">
        <v>4568</v>
      </c>
      <c r="C421" s="117"/>
      <c r="D421" s="159" t="s">
        <v>4569</v>
      </c>
      <c r="E421" s="160">
        <v>3</v>
      </c>
      <c r="F421" s="117"/>
      <c r="G421" s="117"/>
      <c r="H421" s="154">
        <v>11.8</v>
      </c>
    </row>
    <row r="422" spans="1:8" ht="15.75" x14ac:dyDescent="0.25">
      <c r="A422" s="116">
        <v>459</v>
      </c>
      <c r="B422" s="117"/>
      <c r="C422" s="117"/>
      <c r="D422" s="117"/>
      <c r="E422" s="117"/>
      <c r="F422" s="117"/>
      <c r="G422" s="117"/>
      <c r="H422" s="154"/>
    </row>
    <row r="423" spans="1:8" ht="15.75" x14ac:dyDescent="0.25">
      <c r="A423" s="116">
        <v>460</v>
      </c>
      <c r="B423" s="115" t="s">
        <v>1406</v>
      </c>
      <c r="C423" s="155"/>
      <c r="D423" s="115" t="s">
        <v>1407</v>
      </c>
      <c r="E423" s="154">
        <v>39</v>
      </c>
      <c r="F423" s="117"/>
      <c r="G423" s="117"/>
      <c r="H423" s="154"/>
    </row>
    <row r="424" spans="1:8" x14ac:dyDescent="0.25">
      <c r="A424" s="116">
        <v>461</v>
      </c>
      <c r="B424" s="117"/>
      <c r="C424" s="117"/>
      <c r="D424" s="117"/>
      <c r="E424" s="117"/>
      <c r="F424" s="117"/>
      <c r="G424" s="117"/>
      <c r="H424" s="117"/>
    </row>
    <row r="425" spans="1:8" ht="21" x14ac:dyDescent="0.25">
      <c r="A425" s="116">
        <v>462</v>
      </c>
      <c r="B425" s="117"/>
      <c r="C425" s="117"/>
      <c r="D425" s="164"/>
      <c r="E425" s="117"/>
      <c r="F425" s="117"/>
      <c r="G425" s="117"/>
      <c r="H425" s="117"/>
    </row>
    <row r="426" spans="1:8" ht="21" x14ac:dyDescent="0.25">
      <c r="A426" s="116">
        <v>463</v>
      </c>
      <c r="B426" s="117"/>
      <c r="C426" s="164" t="s">
        <v>234</v>
      </c>
      <c r="D426" s="117"/>
      <c r="E426" s="117"/>
      <c r="F426" s="117"/>
      <c r="G426" s="117"/>
      <c r="H426" s="117"/>
    </row>
    <row r="427" spans="1:8" x14ac:dyDescent="0.25">
      <c r="A427" s="116">
        <v>464</v>
      </c>
      <c r="B427" s="115" t="s">
        <v>1326</v>
      </c>
      <c r="C427" s="115" t="s">
        <v>1327</v>
      </c>
      <c r="D427" s="115" t="s">
        <v>1328</v>
      </c>
      <c r="E427" s="117">
        <v>0</v>
      </c>
      <c r="F427" s="117"/>
      <c r="G427" s="117"/>
      <c r="H427" s="117">
        <v>303.8</v>
      </c>
    </row>
    <row r="428" spans="1:8" x14ac:dyDescent="0.25">
      <c r="A428" s="116">
        <v>465</v>
      </c>
      <c r="B428" s="115" t="s">
        <v>1329</v>
      </c>
      <c r="C428" s="115" t="s">
        <v>1327</v>
      </c>
      <c r="D428" s="115" t="s">
        <v>1330</v>
      </c>
      <c r="E428" s="117">
        <v>1</v>
      </c>
      <c r="F428" s="117"/>
      <c r="G428" s="117"/>
      <c r="H428" s="117">
        <v>326.3</v>
      </c>
    </row>
    <row r="429" spans="1:8" x14ac:dyDescent="0.25">
      <c r="A429" s="116">
        <v>466</v>
      </c>
      <c r="B429" s="117"/>
      <c r="C429" s="117"/>
      <c r="D429" s="117"/>
      <c r="E429" s="117"/>
      <c r="F429" s="117"/>
      <c r="G429" s="117"/>
      <c r="H429" s="117"/>
    </row>
    <row r="430" spans="1:8" x14ac:dyDescent="0.25">
      <c r="A430" s="116">
        <v>467</v>
      </c>
      <c r="B430" s="117"/>
      <c r="C430" s="117"/>
      <c r="D430" s="117"/>
      <c r="E430" s="117"/>
      <c r="F430" s="117"/>
      <c r="G430" s="117"/>
      <c r="H430" s="117"/>
    </row>
    <row r="431" spans="1:8" x14ac:dyDescent="0.25">
      <c r="A431" s="116">
        <v>468</v>
      </c>
      <c r="B431" s="115" t="s">
        <v>1331</v>
      </c>
      <c r="C431" s="115" t="s">
        <v>1332</v>
      </c>
      <c r="D431" s="115" t="s">
        <v>1333</v>
      </c>
      <c r="E431" s="117">
        <v>0</v>
      </c>
      <c r="F431" s="117"/>
      <c r="G431" s="117"/>
      <c r="H431" s="117">
        <v>28.7</v>
      </c>
    </row>
    <row r="432" spans="1:8" x14ac:dyDescent="0.25">
      <c r="A432" s="116">
        <v>469</v>
      </c>
      <c r="B432" s="117"/>
      <c r="C432" s="117"/>
      <c r="D432" s="115" t="s">
        <v>3910</v>
      </c>
      <c r="E432" s="150">
        <v>13</v>
      </c>
      <c r="F432" s="117"/>
      <c r="G432" s="117">
        <v>190</v>
      </c>
      <c r="H432" s="117"/>
    </row>
    <row r="433" spans="1:8" x14ac:dyDescent="0.25">
      <c r="A433" s="116">
        <v>470</v>
      </c>
      <c r="B433" s="117"/>
      <c r="C433" s="117"/>
      <c r="D433" s="117"/>
      <c r="E433" s="117"/>
      <c r="F433" s="117"/>
      <c r="G433" s="117"/>
      <c r="H433" s="117"/>
    </row>
    <row r="434" spans="1:8" x14ac:dyDescent="0.25">
      <c r="A434" s="116">
        <v>471</v>
      </c>
      <c r="B434" s="146" t="s">
        <v>2870</v>
      </c>
      <c r="C434" s="146" t="s">
        <v>2871</v>
      </c>
      <c r="D434" s="146" t="s">
        <v>2869</v>
      </c>
      <c r="E434" s="117">
        <v>6</v>
      </c>
      <c r="F434" s="117"/>
      <c r="G434" s="117"/>
      <c r="H434" s="117"/>
    </row>
    <row r="435" spans="1:8" x14ac:dyDescent="0.25">
      <c r="A435" s="116">
        <v>472</v>
      </c>
      <c r="B435" s="115" t="s">
        <v>1376</v>
      </c>
      <c r="C435" s="127" t="s">
        <v>1377</v>
      </c>
      <c r="D435" s="165" t="s">
        <v>1379</v>
      </c>
      <c r="E435" s="117">
        <v>5</v>
      </c>
      <c r="F435" s="117"/>
      <c r="G435" s="117"/>
      <c r="H435" s="117">
        <v>86.5</v>
      </c>
    </row>
    <row r="436" spans="1:8" x14ac:dyDescent="0.25">
      <c r="A436" s="116">
        <v>473</v>
      </c>
      <c r="B436" s="115" t="s">
        <v>1378</v>
      </c>
      <c r="C436" s="127" t="s">
        <v>1377</v>
      </c>
      <c r="D436" s="115" t="s">
        <v>1585</v>
      </c>
      <c r="E436" s="117">
        <v>6</v>
      </c>
      <c r="F436" s="117"/>
      <c r="G436" s="117"/>
      <c r="H436" s="117">
        <v>86.5</v>
      </c>
    </row>
    <row r="437" spans="1:8" x14ac:dyDescent="0.25">
      <c r="A437" s="116">
        <v>474</v>
      </c>
      <c r="B437" s="115" t="s">
        <v>2937</v>
      </c>
      <c r="C437" s="127" t="s">
        <v>1377</v>
      </c>
      <c r="D437" s="115" t="s">
        <v>3888</v>
      </c>
      <c r="E437" s="150">
        <v>7</v>
      </c>
      <c r="F437" s="117"/>
      <c r="G437" s="117"/>
      <c r="H437" s="117"/>
    </row>
    <row r="438" spans="1:8" x14ac:dyDescent="0.25">
      <c r="A438" s="116">
        <v>475</v>
      </c>
      <c r="B438" s="115" t="s">
        <v>3890</v>
      </c>
      <c r="C438" s="127" t="s">
        <v>1377</v>
      </c>
      <c r="D438" s="115" t="s">
        <v>3889</v>
      </c>
      <c r="E438" s="150">
        <v>5</v>
      </c>
      <c r="F438" s="117"/>
      <c r="G438" s="117"/>
      <c r="H438" s="117"/>
    </row>
    <row r="439" spans="1:8" x14ac:dyDescent="0.25">
      <c r="A439" s="116">
        <v>476</v>
      </c>
      <c r="B439" s="115" t="s">
        <v>2938</v>
      </c>
      <c r="C439" s="127" t="s">
        <v>1377</v>
      </c>
      <c r="D439" s="115" t="s">
        <v>3370</v>
      </c>
      <c r="E439" s="150">
        <v>5</v>
      </c>
      <c r="F439" s="117"/>
      <c r="G439" s="117"/>
      <c r="H439" s="117"/>
    </row>
    <row r="440" spans="1:8" x14ac:dyDescent="0.25">
      <c r="A440" s="116">
        <v>477</v>
      </c>
      <c r="B440" s="115" t="s">
        <v>2940</v>
      </c>
      <c r="C440" s="127" t="s">
        <v>1377</v>
      </c>
      <c r="D440" s="115" t="s">
        <v>2939</v>
      </c>
      <c r="E440" s="150">
        <v>7</v>
      </c>
      <c r="F440" s="117"/>
      <c r="G440" s="117"/>
      <c r="H440" s="117"/>
    </row>
    <row r="441" spans="1:8" x14ac:dyDescent="0.25">
      <c r="A441" s="116">
        <v>478</v>
      </c>
      <c r="B441" s="115" t="s">
        <v>2942</v>
      </c>
      <c r="C441" s="127" t="s">
        <v>1377</v>
      </c>
      <c r="D441" s="115" t="s">
        <v>2941</v>
      </c>
      <c r="E441" s="150">
        <v>5</v>
      </c>
      <c r="F441" s="117"/>
      <c r="G441" s="117"/>
      <c r="H441" s="117"/>
    </row>
    <row r="442" spans="1:8" ht="15.75" x14ac:dyDescent="0.25">
      <c r="A442" s="116">
        <v>479</v>
      </c>
      <c r="B442" s="115" t="s">
        <v>3449</v>
      </c>
      <c r="C442" s="127" t="s">
        <v>1377</v>
      </c>
      <c r="D442" s="144" t="s">
        <v>1584</v>
      </c>
      <c r="E442" s="117">
        <v>7</v>
      </c>
      <c r="F442" s="117"/>
      <c r="G442" s="117">
        <v>200</v>
      </c>
      <c r="H442" s="117"/>
    </row>
    <row r="443" spans="1:8" ht="15.75" x14ac:dyDescent="0.25">
      <c r="A443" s="116">
        <v>480</v>
      </c>
      <c r="B443" s="144" t="s">
        <v>3238</v>
      </c>
      <c r="C443" s="127" t="s">
        <v>3239</v>
      </c>
      <c r="D443" s="144" t="s">
        <v>3237</v>
      </c>
      <c r="E443" s="117">
        <v>2</v>
      </c>
      <c r="F443" s="117"/>
      <c r="G443" s="117"/>
      <c r="H443" s="117"/>
    </row>
    <row r="444" spans="1:8" ht="15.75" x14ac:dyDescent="0.25">
      <c r="A444" s="116">
        <v>481</v>
      </c>
      <c r="B444" s="144" t="s">
        <v>3945</v>
      </c>
      <c r="C444" s="144" t="s">
        <v>2871</v>
      </c>
      <c r="D444" s="144" t="s">
        <v>3946</v>
      </c>
      <c r="E444" s="117">
        <v>3</v>
      </c>
      <c r="F444" s="117"/>
      <c r="G444" s="117"/>
      <c r="H444" s="117"/>
    </row>
    <row r="445" spans="1:8" ht="15.75" x14ac:dyDescent="0.25">
      <c r="A445" s="116">
        <v>482</v>
      </c>
      <c r="B445" s="117"/>
      <c r="C445" s="117"/>
      <c r="D445" s="144" t="s">
        <v>4370</v>
      </c>
      <c r="E445" s="117">
        <v>4</v>
      </c>
      <c r="F445" s="117"/>
      <c r="G445" s="117"/>
      <c r="H445" s="117"/>
    </row>
    <row r="446" spans="1:8" ht="15.75" x14ac:dyDescent="0.25">
      <c r="A446" s="116">
        <v>483</v>
      </c>
      <c r="B446" s="117"/>
      <c r="C446" s="127"/>
      <c r="D446" s="144"/>
      <c r="E446" s="117"/>
      <c r="F446" s="117"/>
      <c r="G446" s="117"/>
      <c r="H446" s="117"/>
    </row>
    <row r="447" spans="1:8" ht="15.75" x14ac:dyDescent="0.25">
      <c r="A447" s="116">
        <v>484</v>
      </c>
      <c r="B447" s="117"/>
      <c r="C447" s="127"/>
      <c r="D447" s="144"/>
      <c r="E447" s="117"/>
      <c r="F447" s="117"/>
      <c r="G447" s="117"/>
      <c r="H447" s="117"/>
    </row>
    <row r="448" spans="1:8" ht="15.75" x14ac:dyDescent="0.25">
      <c r="A448" s="116">
        <v>485</v>
      </c>
      <c r="B448" s="144"/>
      <c r="C448" s="127"/>
      <c r="D448" s="144"/>
      <c r="E448" s="117"/>
      <c r="F448" s="117"/>
      <c r="G448" s="117"/>
      <c r="H448" s="117"/>
    </row>
    <row r="449" spans="1:8" x14ac:dyDescent="0.25">
      <c r="A449" s="116">
        <v>486</v>
      </c>
      <c r="B449" s="115" t="s">
        <v>1399</v>
      </c>
      <c r="C449" s="155"/>
      <c r="D449" s="115" t="s">
        <v>1400</v>
      </c>
      <c r="E449" s="117">
        <v>70</v>
      </c>
      <c r="F449" s="117"/>
      <c r="G449" s="117"/>
      <c r="H449" s="117"/>
    </row>
    <row r="450" spans="1:8" x14ac:dyDescent="0.25">
      <c r="A450" s="116">
        <v>487</v>
      </c>
      <c r="B450" s="115" t="s">
        <v>3028</v>
      </c>
      <c r="C450" s="127" t="s">
        <v>3029</v>
      </c>
      <c r="D450" s="115" t="s">
        <v>3030</v>
      </c>
      <c r="E450" s="150">
        <v>12</v>
      </c>
      <c r="F450" s="117"/>
      <c r="G450" s="117"/>
      <c r="H450" s="117"/>
    </row>
    <row r="451" spans="1:8" x14ac:dyDescent="0.25">
      <c r="A451" s="116">
        <v>488</v>
      </c>
      <c r="B451" s="115" t="s">
        <v>1401</v>
      </c>
      <c r="C451" s="115" t="s">
        <v>1402</v>
      </c>
      <c r="D451" s="115" t="s">
        <v>1403</v>
      </c>
      <c r="E451" s="150">
        <v>4</v>
      </c>
      <c r="F451" s="117"/>
      <c r="G451" s="117"/>
      <c r="H451" s="117"/>
    </row>
    <row r="452" spans="1:8" x14ac:dyDescent="0.25">
      <c r="A452" s="116">
        <v>489</v>
      </c>
      <c r="B452" s="124" t="s">
        <v>1428</v>
      </c>
      <c r="C452" s="126" t="s">
        <v>1070</v>
      </c>
      <c r="D452" s="124" t="s">
        <v>1429</v>
      </c>
      <c r="E452" s="150">
        <v>0</v>
      </c>
      <c r="F452" s="117"/>
      <c r="G452" s="117"/>
      <c r="H452" s="117"/>
    </row>
    <row r="453" spans="1:8" x14ac:dyDescent="0.25">
      <c r="A453" s="116">
        <v>490</v>
      </c>
      <c r="B453" s="124" t="s">
        <v>3703</v>
      </c>
      <c r="C453" s="126" t="s">
        <v>1070</v>
      </c>
      <c r="D453" s="124" t="s">
        <v>2377</v>
      </c>
      <c r="E453" s="150">
        <v>5</v>
      </c>
      <c r="F453" s="117"/>
      <c r="G453" s="117"/>
      <c r="H453" s="117"/>
    </row>
    <row r="454" spans="1:8" x14ac:dyDescent="0.25">
      <c r="A454" s="116">
        <v>491</v>
      </c>
      <c r="B454" s="124" t="s">
        <v>4499</v>
      </c>
      <c r="C454" s="126" t="s">
        <v>1070</v>
      </c>
      <c r="D454" s="124" t="s">
        <v>4500</v>
      </c>
      <c r="E454" s="150">
        <v>5</v>
      </c>
      <c r="F454" s="117"/>
      <c r="G454" s="117"/>
      <c r="H454" s="117"/>
    </row>
    <row r="455" spans="1:8" x14ac:dyDescent="0.25">
      <c r="A455" s="116">
        <v>492</v>
      </c>
      <c r="B455" s="117"/>
      <c r="C455" s="117"/>
      <c r="D455" s="117"/>
      <c r="E455" s="117"/>
      <c r="F455" s="117"/>
      <c r="G455" s="117"/>
      <c r="H455" s="117"/>
    </row>
    <row r="456" spans="1:8" x14ac:dyDescent="0.25">
      <c r="A456" s="116">
        <v>493</v>
      </c>
      <c r="B456" s="166" t="s">
        <v>2185</v>
      </c>
      <c r="C456" s="166" t="s">
        <v>2187</v>
      </c>
      <c r="D456" s="166" t="s">
        <v>2186</v>
      </c>
      <c r="E456" s="167">
        <v>2</v>
      </c>
      <c r="F456" s="117"/>
      <c r="G456" s="117"/>
      <c r="H456" s="117"/>
    </row>
    <row r="457" spans="1:8" x14ac:dyDescent="0.25">
      <c r="A457" s="116">
        <v>494</v>
      </c>
      <c r="B457" s="166" t="s">
        <v>2189</v>
      </c>
      <c r="C457" s="166" t="s">
        <v>2190</v>
      </c>
      <c r="D457" s="166" t="s">
        <v>2188</v>
      </c>
      <c r="E457" s="167">
        <v>1</v>
      </c>
      <c r="F457" s="117"/>
      <c r="G457" s="117"/>
      <c r="H457" s="117"/>
    </row>
    <row r="458" spans="1:8" x14ac:dyDescent="0.25">
      <c r="A458" s="116">
        <v>495</v>
      </c>
      <c r="B458" s="166" t="s">
        <v>2215</v>
      </c>
      <c r="C458" s="166" t="s">
        <v>2214</v>
      </c>
      <c r="D458" s="166" t="s">
        <v>2213</v>
      </c>
      <c r="E458" s="167">
        <v>4</v>
      </c>
      <c r="F458" s="117"/>
      <c r="G458" s="117"/>
      <c r="H458" s="117"/>
    </row>
    <row r="459" spans="1:8" x14ac:dyDescent="0.25">
      <c r="A459" s="116">
        <v>496</v>
      </c>
      <c r="B459" s="166" t="s">
        <v>2216</v>
      </c>
      <c r="C459" s="166" t="s">
        <v>2214</v>
      </c>
      <c r="D459" s="166" t="s">
        <v>2217</v>
      </c>
      <c r="E459" s="167">
        <v>5</v>
      </c>
      <c r="F459" s="117"/>
      <c r="G459" s="117"/>
      <c r="H459" s="117"/>
    </row>
    <row r="460" spans="1:8" x14ac:dyDescent="0.25">
      <c r="A460" s="116">
        <v>497</v>
      </c>
      <c r="B460" s="117" t="s">
        <v>3268</v>
      </c>
      <c r="C460" s="166" t="s">
        <v>2214</v>
      </c>
      <c r="D460" s="117" t="s">
        <v>1184</v>
      </c>
      <c r="E460" s="167">
        <v>5</v>
      </c>
      <c r="F460" s="117"/>
      <c r="G460" s="117"/>
      <c r="H460" s="117"/>
    </row>
    <row r="461" spans="1:8" x14ac:dyDescent="0.25">
      <c r="A461" s="116">
        <v>498</v>
      </c>
      <c r="B461" s="117"/>
      <c r="C461" s="117"/>
      <c r="D461" s="117"/>
      <c r="E461" s="117"/>
      <c r="F461" s="117"/>
      <c r="G461" s="117"/>
      <c r="H461" s="117"/>
    </row>
    <row r="462" spans="1:8" ht="18.75" x14ac:dyDescent="0.25">
      <c r="A462" s="116">
        <v>499</v>
      </c>
      <c r="B462" s="117"/>
      <c r="C462" s="117"/>
      <c r="D462" s="166" t="s">
        <v>4430</v>
      </c>
      <c r="E462" s="167">
        <v>0</v>
      </c>
      <c r="F462" s="117"/>
      <c r="G462" s="168">
        <v>25</v>
      </c>
      <c r="H462" s="117"/>
    </row>
    <row r="463" spans="1:8" ht="18.75" x14ac:dyDescent="0.25">
      <c r="A463" s="116">
        <v>500</v>
      </c>
      <c r="B463" s="117"/>
      <c r="C463" s="117"/>
      <c r="D463" s="166" t="s">
        <v>4431</v>
      </c>
      <c r="E463" s="167">
        <v>15</v>
      </c>
      <c r="F463" s="117"/>
      <c r="G463" s="168">
        <v>420</v>
      </c>
      <c r="H463" s="117"/>
    </row>
    <row r="464" spans="1:8" x14ac:dyDescent="0.25">
      <c r="A464" s="116">
        <v>501</v>
      </c>
      <c r="B464" s="117"/>
      <c r="C464" s="117"/>
      <c r="D464" s="117"/>
      <c r="E464" s="117"/>
      <c r="F464" s="117"/>
      <c r="G464" s="117"/>
      <c r="H464" s="117"/>
    </row>
    <row r="465" spans="1:8" ht="23.25" x14ac:dyDescent="0.25">
      <c r="A465" s="116">
        <v>502</v>
      </c>
      <c r="B465" s="117"/>
      <c r="C465" s="169" t="s">
        <v>4472</v>
      </c>
      <c r="D465" s="169"/>
      <c r="E465" s="168"/>
      <c r="F465" s="117"/>
      <c r="G465" s="117"/>
      <c r="H465" s="117"/>
    </row>
    <row r="466" spans="1:8" ht="18.75" x14ac:dyDescent="0.25">
      <c r="A466" s="116">
        <v>503</v>
      </c>
      <c r="B466" s="168" t="s">
        <v>4473</v>
      </c>
      <c r="C466" s="117"/>
      <c r="D466" s="168"/>
      <c r="E466" s="168">
        <v>9</v>
      </c>
      <c r="F466" s="117"/>
      <c r="G466" s="168">
        <v>2980</v>
      </c>
      <c r="H466" s="168"/>
    </row>
    <row r="467" spans="1:8" ht="18.75" x14ac:dyDescent="0.25">
      <c r="A467" s="116">
        <v>504</v>
      </c>
      <c r="B467" s="168" t="s">
        <v>4474</v>
      </c>
      <c r="C467" s="117"/>
      <c r="D467" s="168"/>
      <c r="E467" s="168">
        <v>6</v>
      </c>
      <c r="F467" s="117"/>
      <c r="G467" s="168">
        <v>2660</v>
      </c>
      <c r="H467" s="168"/>
    </row>
    <row r="468" spans="1:8" ht="18.75" x14ac:dyDescent="0.25">
      <c r="A468" s="116">
        <v>505</v>
      </c>
      <c r="B468" s="168" t="s">
        <v>4475</v>
      </c>
      <c r="C468" s="117"/>
      <c r="D468" s="168"/>
      <c r="E468" s="168">
        <v>4</v>
      </c>
      <c r="F468" s="117"/>
      <c r="G468" s="168">
        <v>2660</v>
      </c>
      <c r="H468" s="168"/>
    </row>
    <row r="469" spans="1:8" ht="18.75" x14ac:dyDescent="0.25">
      <c r="A469" s="116">
        <v>506</v>
      </c>
      <c r="B469" s="168" t="s">
        <v>4476</v>
      </c>
      <c r="C469" s="117"/>
      <c r="D469" s="168"/>
      <c r="E469" s="168">
        <v>1</v>
      </c>
      <c r="F469" s="117"/>
      <c r="G469" s="168">
        <v>2660</v>
      </c>
      <c r="H469" s="168"/>
    </row>
    <row r="470" spans="1:8" ht="18.75" x14ac:dyDescent="0.25">
      <c r="A470" s="116">
        <v>507</v>
      </c>
      <c r="B470" s="168" t="s">
        <v>4571</v>
      </c>
      <c r="C470" s="117"/>
      <c r="D470" s="168"/>
      <c r="E470" s="168">
        <v>6</v>
      </c>
      <c r="F470" s="117"/>
      <c r="G470" s="168">
        <v>2660</v>
      </c>
      <c r="H470" s="117"/>
    </row>
    <row r="471" spans="1:8" ht="18.75" x14ac:dyDescent="0.25">
      <c r="A471" s="116">
        <v>508</v>
      </c>
      <c r="B471" s="168" t="s">
        <v>4627</v>
      </c>
      <c r="C471" s="117"/>
      <c r="D471" s="168"/>
      <c r="E471" s="168">
        <v>3</v>
      </c>
      <c r="F471" s="117"/>
      <c r="G471" s="168">
        <v>2660</v>
      </c>
      <c r="H471" s="117"/>
    </row>
    <row r="472" spans="1:8" ht="18.75" x14ac:dyDescent="0.25">
      <c r="A472" s="116">
        <v>509</v>
      </c>
      <c r="B472" s="168"/>
      <c r="C472" s="117"/>
      <c r="D472" s="168"/>
      <c r="E472" s="168"/>
      <c r="F472" s="117"/>
      <c r="G472" s="117"/>
      <c r="H472" s="117"/>
    </row>
    <row r="473" spans="1:8" ht="18.75" x14ac:dyDescent="0.25">
      <c r="A473" s="116">
        <v>510</v>
      </c>
      <c r="B473" s="168" t="s">
        <v>4572</v>
      </c>
      <c r="C473" s="117"/>
      <c r="D473" s="168"/>
      <c r="E473" s="168">
        <v>16</v>
      </c>
      <c r="F473" s="117"/>
      <c r="G473" s="168">
        <v>3550</v>
      </c>
      <c r="H473" s="117"/>
    </row>
    <row r="474" spans="1:8" ht="18.75" x14ac:dyDescent="0.25">
      <c r="A474" s="116">
        <v>511</v>
      </c>
      <c r="B474" s="168" t="s">
        <v>4628</v>
      </c>
      <c r="C474" s="117"/>
      <c r="D474" s="168"/>
      <c r="E474" s="168">
        <v>3</v>
      </c>
      <c r="F474" s="117"/>
      <c r="G474" s="168">
        <v>3230</v>
      </c>
      <c r="H474" s="117"/>
    </row>
    <row r="475" spans="1:8" ht="18.75" x14ac:dyDescent="0.25">
      <c r="A475" s="116">
        <v>512</v>
      </c>
      <c r="B475" s="168" t="s">
        <v>4629</v>
      </c>
      <c r="C475" s="117"/>
      <c r="D475" s="168"/>
      <c r="E475" s="168">
        <v>1</v>
      </c>
      <c r="F475" s="117"/>
      <c r="G475" s="168">
        <v>3230</v>
      </c>
      <c r="H475" s="117"/>
    </row>
    <row r="476" spans="1:8" ht="18.75" x14ac:dyDescent="0.25">
      <c r="A476" s="116">
        <v>513</v>
      </c>
      <c r="B476" s="168" t="s">
        <v>4630</v>
      </c>
      <c r="C476" s="117"/>
      <c r="D476" s="168" t="s">
        <v>4631</v>
      </c>
      <c r="E476" s="168">
        <v>0</v>
      </c>
      <c r="F476" s="117"/>
      <c r="G476" s="168">
        <v>3230</v>
      </c>
      <c r="H476" s="117"/>
    </row>
    <row r="477" spans="1:8" ht="18.75" x14ac:dyDescent="0.25">
      <c r="A477" s="116">
        <v>514</v>
      </c>
      <c r="B477" s="168" t="s">
        <v>4632</v>
      </c>
      <c r="C477" s="117"/>
      <c r="D477" s="168"/>
      <c r="E477" s="168">
        <v>2</v>
      </c>
      <c r="F477" s="117"/>
      <c r="G477" s="168">
        <v>3230</v>
      </c>
      <c r="H477" s="117"/>
    </row>
    <row r="478" spans="1:8" ht="18.75" x14ac:dyDescent="0.25">
      <c r="A478" s="116">
        <v>515</v>
      </c>
      <c r="B478" s="168"/>
      <c r="C478" s="117"/>
      <c r="D478" s="168"/>
      <c r="E478" s="168"/>
      <c r="F478" s="117"/>
      <c r="G478" s="117"/>
      <c r="H478" s="117"/>
    </row>
    <row r="479" spans="1:8" ht="18.75" x14ac:dyDescent="0.25">
      <c r="A479" s="116">
        <v>516</v>
      </c>
      <c r="B479" s="168" t="s">
        <v>4633</v>
      </c>
      <c r="C479" s="117"/>
      <c r="D479" s="168"/>
      <c r="E479" s="168">
        <v>32</v>
      </c>
      <c r="F479" s="117"/>
      <c r="G479" s="117"/>
      <c r="H479" s="117"/>
    </row>
  </sheetData>
  <mergeCells count="13">
    <mergeCell ref="B363:E363"/>
    <mergeCell ref="B400:E400"/>
    <mergeCell ref="B246:E246"/>
    <mergeCell ref="B285:E285"/>
    <mergeCell ref="B326:E326"/>
    <mergeCell ref="B347:E347"/>
    <mergeCell ref="B358:E358"/>
    <mergeCell ref="B2:F2"/>
    <mergeCell ref="B101:E101"/>
    <mergeCell ref="B143:E143"/>
    <mergeCell ref="B147:E147"/>
    <mergeCell ref="B204:E204"/>
    <mergeCell ref="C465:D465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608"/>
  <sheetViews>
    <sheetView zoomScale="120" zoomScaleNormal="120" workbookViewId="0">
      <selection sqref="A1:G1"/>
    </sheetView>
  </sheetViews>
  <sheetFormatPr defaultColWidth="9.140625" defaultRowHeight="14.25" x14ac:dyDescent="0.2"/>
  <cols>
    <col min="1" max="1" width="4.42578125" style="88" customWidth="1"/>
    <col min="2" max="2" width="33.28515625" style="88" customWidth="1"/>
    <col min="3" max="3" width="38.28515625" style="88" customWidth="1"/>
    <col min="4" max="4" width="3.140625" style="88" customWidth="1"/>
    <col min="5" max="5" width="5.28515625" style="88" customWidth="1"/>
    <col min="6" max="6" width="6.140625" style="88" hidden="1" customWidth="1"/>
    <col min="7" max="7" width="10.5703125" style="67" customWidth="1"/>
    <col min="8" max="16384" width="9.140625" style="88"/>
  </cols>
  <sheetData>
    <row r="1" spans="1:8" ht="15.75" x14ac:dyDescent="0.2">
      <c r="A1" s="91" t="s">
        <v>592</v>
      </c>
      <c r="B1" s="91" t="s">
        <v>449</v>
      </c>
      <c r="C1" s="91" t="s">
        <v>4654</v>
      </c>
      <c r="D1" s="91" t="s">
        <v>593</v>
      </c>
      <c r="E1" s="92" t="s">
        <v>594</v>
      </c>
      <c r="F1" s="91" t="s">
        <v>595</v>
      </c>
      <c r="G1" s="177" t="s">
        <v>595</v>
      </c>
      <c r="H1" s="173"/>
    </row>
    <row r="2" spans="1:8" x14ac:dyDescent="0.2">
      <c r="A2" s="173">
        <v>1</v>
      </c>
      <c r="B2" s="173" t="s">
        <v>3078</v>
      </c>
      <c r="C2" s="173" t="s">
        <v>3079</v>
      </c>
      <c r="D2" s="173"/>
      <c r="E2" s="173">
        <v>0</v>
      </c>
      <c r="F2" s="173"/>
      <c r="G2" s="173">
        <v>1733</v>
      </c>
      <c r="H2" s="173"/>
    </row>
    <row r="3" spans="1:8" x14ac:dyDescent="0.2">
      <c r="A3" s="173">
        <v>2</v>
      </c>
      <c r="B3" s="173" t="s">
        <v>3643</v>
      </c>
      <c r="C3" s="173"/>
      <c r="D3" s="173"/>
      <c r="E3" s="173">
        <v>0</v>
      </c>
      <c r="F3" s="173"/>
      <c r="G3" s="173"/>
      <c r="H3" s="173"/>
    </row>
    <row r="4" spans="1:8" x14ac:dyDescent="0.2">
      <c r="A4" s="173">
        <v>3</v>
      </c>
      <c r="B4" s="173" t="s">
        <v>3080</v>
      </c>
      <c r="C4" s="173" t="s">
        <v>3081</v>
      </c>
      <c r="D4" s="173"/>
      <c r="E4" s="173">
        <v>0</v>
      </c>
      <c r="F4" s="173"/>
      <c r="G4" s="173">
        <v>1184</v>
      </c>
      <c r="H4" s="173"/>
    </row>
    <row r="5" spans="1:8" x14ac:dyDescent="0.2">
      <c r="A5" s="173">
        <v>4</v>
      </c>
      <c r="B5" s="173" t="s">
        <v>3211</v>
      </c>
      <c r="C5" s="173"/>
      <c r="D5" s="173"/>
      <c r="E5" s="173">
        <v>0</v>
      </c>
      <c r="F5" s="173"/>
      <c r="G5" s="173">
        <v>2111</v>
      </c>
      <c r="H5" s="173"/>
    </row>
    <row r="6" spans="1:8" x14ac:dyDescent="0.2">
      <c r="A6" s="173">
        <v>5</v>
      </c>
      <c r="B6" s="173" t="s">
        <v>3922</v>
      </c>
      <c r="C6" s="173"/>
      <c r="D6" s="173"/>
      <c r="E6" s="173">
        <v>0</v>
      </c>
      <c r="F6" s="173"/>
      <c r="G6" s="173">
        <v>995</v>
      </c>
      <c r="H6" s="173"/>
    </row>
    <row r="7" spans="1:8" x14ac:dyDescent="0.2">
      <c r="A7" s="173">
        <v>6</v>
      </c>
      <c r="B7" s="173" t="s">
        <v>3273</v>
      </c>
      <c r="C7" s="173" t="s">
        <v>3274</v>
      </c>
      <c r="D7" s="173"/>
      <c r="E7" s="173">
        <v>0</v>
      </c>
      <c r="F7" s="173"/>
      <c r="G7" s="173"/>
      <c r="H7" s="173"/>
    </row>
    <row r="8" spans="1:8" x14ac:dyDescent="0.2">
      <c r="A8" s="173">
        <v>7</v>
      </c>
      <c r="B8" s="173" t="s">
        <v>3272</v>
      </c>
      <c r="C8" s="173" t="s">
        <v>3297</v>
      </c>
      <c r="D8" s="173"/>
      <c r="E8" s="173">
        <v>0</v>
      </c>
      <c r="F8" s="173"/>
      <c r="G8" s="173"/>
      <c r="H8" s="173"/>
    </row>
    <row r="9" spans="1:8" x14ac:dyDescent="0.2">
      <c r="A9" s="173">
        <v>8</v>
      </c>
      <c r="B9" s="173" t="s">
        <v>1503</v>
      </c>
      <c r="C9" s="174" t="s">
        <v>2174</v>
      </c>
      <c r="D9" s="174"/>
      <c r="E9" s="173">
        <v>0</v>
      </c>
      <c r="F9" s="173">
        <v>167</v>
      </c>
      <c r="G9" s="173">
        <v>392</v>
      </c>
      <c r="H9" s="173" t="s">
        <v>2370</v>
      </c>
    </row>
    <row r="10" spans="1:8" x14ac:dyDescent="0.2">
      <c r="A10" s="173">
        <v>9</v>
      </c>
      <c r="B10" s="173" t="s">
        <v>1521</v>
      </c>
      <c r="C10" s="173"/>
      <c r="D10" s="173"/>
      <c r="E10" s="173">
        <v>0</v>
      </c>
      <c r="F10" s="173"/>
      <c r="G10" s="173">
        <v>586</v>
      </c>
      <c r="H10" s="173"/>
    </row>
    <row r="11" spans="1:8" x14ac:dyDescent="0.2">
      <c r="A11" s="173">
        <v>10</v>
      </c>
      <c r="B11" s="173" t="s">
        <v>2255</v>
      </c>
      <c r="C11" s="173"/>
      <c r="D11" s="173"/>
      <c r="E11" s="173">
        <v>0</v>
      </c>
      <c r="F11" s="173"/>
      <c r="G11" s="173">
        <v>779</v>
      </c>
      <c r="H11" s="173"/>
    </row>
    <row r="12" spans="1:8" x14ac:dyDescent="0.2">
      <c r="A12" s="173">
        <v>11</v>
      </c>
      <c r="B12" s="173" t="s">
        <v>1535</v>
      </c>
      <c r="C12" s="173"/>
      <c r="D12" s="173"/>
      <c r="E12" s="173">
        <v>0</v>
      </c>
      <c r="F12" s="173">
        <v>623.5</v>
      </c>
      <c r="G12" s="173">
        <v>1364</v>
      </c>
      <c r="H12" s="173"/>
    </row>
    <row r="13" spans="1:8" x14ac:dyDescent="0.2">
      <c r="A13" s="173">
        <v>12</v>
      </c>
      <c r="B13" s="173" t="s">
        <v>1526</v>
      </c>
      <c r="C13" s="173"/>
      <c r="D13" s="173"/>
      <c r="E13" s="173">
        <v>0</v>
      </c>
      <c r="F13" s="173"/>
      <c r="G13" s="173">
        <v>1949</v>
      </c>
      <c r="H13" s="173"/>
    </row>
    <row r="14" spans="1:8" x14ac:dyDescent="0.2">
      <c r="A14" s="173">
        <v>13</v>
      </c>
      <c r="B14" s="173" t="s">
        <v>1527</v>
      </c>
      <c r="C14" s="173"/>
      <c r="D14" s="173"/>
      <c r="E14" s="173">
        <v>0</v>
      </c>
      <c r="F14" s="173"/>
      <c r="G14" s="173">
        <v>689</v>
      </c>
      <c r="H14" s="173"/>
    </row>
    <row r="15" spans="1:8" x14ac:dyDescent="0.2">
      <c r="A15" s="173">
        <v>14</v>
      </c>
      <c r="B15" s="173" t="s">
        <v>3381</v>
      </c>
      <c r="C15" s="173"/>
      <c r="D15" s="173"/>
      <c r="E15" s="173">
        <v>4</v>
      </c>
      <c r="F15" s="173">
        <v>1318</v>
      </c>
      <c r="G15" s="173">
        <v>1318</v>
      </c>
      <c r="H15" s="173"/>
    </row>
    <row r="16" spans="1:8" x14ac:dyDescent="0.2">
      <c r="A16" s="173">
        <v>15</v>
      </c>
      <c r="B16" s="173" t="s">
        <v>3232</v>
      </c>
      <c r="C16" s="173"/>
      <c r="D16" s="173"/>
      <c r="E16" s="173">
        <v>0</v>
      </c>
      <c r="F16" s="173"/>
      <c r="G16" s="173">
        <v>2498</v>
      </c>
      <c r="H16" s="173"/>
    </row>
    <row r="17" spans="1:8" x14ac:dyDescent="0.2">
      <c r="A17" s="173">
        <v>16</v>
      </c>
      <c r="B17" s="173" t="s">
        <v>1516</v>
      </c>
      <c r="C17" s="173"/>
      <c r="D17" s="173"/>
      <c r="E17" s="173">
        <v>0</v>
      </c>
      <c r="F17" s="173"/>
      <c r="G17" s="173" t="s">
        <v>3066</v>
      </c>
      <c r="H17" s="173"/>
    </row>
    <row r="18" spans="1:8" x14ac:dyDescent="0.2">
      <c r="A18" s="173">
        <v>17</v>
      </c>
      <c r="B18" s="173" t="s">
        <v>4327</v>
      </c>
      <c r="C18" s="173"/>
      <c r="D18" s="173"/>
      <c r="E18" s="173">
        <v>0</v>
      </c>
      <c r="F18" s="173"/>
      <c r="G18" s="173">
        <v>4010</v>
      </c>
      <c r="H18" s="173"/>
    </row>
    <row r="19" spans="1:8" x14ac:dyDescent="0.2">
      <c r="A19" s="173">
        <v>18</v>
      </c>
      <c r="B19" s="173" t="s">
        <v>4323</v>
      </c>
      <c r="C19" s="173"/>
      <c r="D19" s="173"/>
      <c r="E19" s="173">
        <v>0</v>
      </c>
      <c r="F19" s="173"/>
      <c r="G19" s="173">
        <v>1920</v>
      </c>
      <c r="H19" s="173"/>
    </row>
    <row r="20" spans="1:8" x14ac:dyDescent="0.2">
      <c r="A20" s="173">
        <v>19</v>
      </c>
      <c r="B20" s="173" t="s">
        <v>1536</v>
      </c>
      <c r="C20" s="173"/>
      <c r="D20" s="173"/>
      <c r="E20" s="173">
        <v>0</v>
      </c>
      <c r="F20" s="173">
        <v>1098.5</v>
      </c>
      <c r="G20" s="173">
        <v>2395</v>
      </c>
      <c r="H20" s="173"/>
    </row>
    <row r="21" spans="1:8" x14ac:dyDescent="0.2">
      <c r="A21" s="173">
        <v>20</v>
      </c>
      <c r="B21" s="173" t="s">
        <v>3371</v>
      </c>
      <c r="C21" s="173" t="s">
        <v>3572</v>
      </c>
      <c r="D21" s="173"/>
      <c r="E21" s="173">
        <v>40</v>
      </c>
      <c r="F21" s="173"/>
      <c r="G21" s="173">
        <v>673</v>
      </c>
      <c r="H21" s="173"/>
    </row>
    <row r="22" spans="1:8" x14ac:dyDescent="0.2">
      <c r="A22" s="173">
        <v>21</v>
      </c>
      <c r="B22" s="173" t="s">
        <v>3332</v>
      </c>
      <c r="C22" s="173"/>
      <c r="D22" s="173"/>
      <c r="E22" s="173">
        <v>0</v>
      </c>
      <c r="F22" s="173"/>
      <c r="G22" s="173">
        <v>15998</v>
      </c>
      <c r="H22" s="173"/>
    </row>
    <row r="23" spans="1:8" x14ac:dyDescent="0.2">
      <c r="A23" s="173">
        <v>22</v>
      </c>
      <c r="B23" s="173" t="s">
        <v>3333</v>
      </c>
      <c r="C23" s="173"/>
      <c r="D23" s="173"/>
      <c r="E23" s="173">
        <v>0</v>
      </c>
      <c r="F23" s="173"/>
      <c r="G23" s="173">
        <v>11210</v>
      </c>
      <c r="H23" s="173"/>
    </row>
    <row r="24" spans="1:8" x14ac:dyDescent="0.2">
      <c r="A24" s="173">
        <v>23</v>
      </c>
      <c r="B24" s="173" t="s">
        <v>3336</v>
      </c>
      <c r="C24" s="173" t="s">
        <v>3355</v>
      </c>
      <c r="D24" s="173"/>
      <c r="E24" s="173">
        <v>0</v>
      </c>
      <c r="F24" s="173"/>
      <c r="G24" s="173">
        <v>2570</v>
      </c>
      <c r="H24" s="173"/>
    </row>
    <row r="25" spans="1:8" x14ac:dyDescent="0.2">
      <c r="A25" s="173">
        <v>24</v>
      </c>
      <c r="B25" s="173" t="s">
        <v>1479</v>
      </c>
      <c r="C25" s="173"/>
      <c r="D25" s="173"/>
      <c r="E25" s="173">
        <v>0</v>
      </c>
      <c r="F25" s="173">
        <v>223</v>
      </c>
      <c r="G25" s="173">
        <v>482</v>
      </c>
      <c r="H25" s="173"/>
    </row>
    <row r="26" spans="1:8" x14ac:dyDescent="0.2">
      <c r="A26" s="173">
        <v>25</v>
      </c>
      <c r="B26" s="173" t="s">
        <v>3358</v>
      </c>
      <c r="C26" s="173"/>
      <c r="D26" s="173"/>
      <c r="E26" s="173">
        <v>0</v>
      </c>
      <c r="F26" s="173"/>
      <c r="G26" s="173">
        <v>5640</v>
      </c>
      <c r="H26" s="173"/>
    </row>
    <row r="27" spans="1:8" x14ac:dyDescent="0.2">
      <c r="A27" s="173">
        <v>26</v>
      </c>
      <c r="B27" s="173" t="s">
        <v>4281</v>
      </c>
      <c r="C27" s="173"/>
      <c r="D27" s="173"/>
      <c r="E27" s="173">
        <v>0</v>
      </c>
      <c r="F27" s="173"/>
      <c r="G27" s="173">
        <v>2390</v>
      </c>
      <c r="H27" s="173"/>
    </row>
    <row r="28" spans="1:8" x14ac:dyDescent="0.2">
      <c r="A28" s="173">
        <v>27</v>
      </c>
      <c r="B28" s="173" t="s">
        <v>3753</v>
      </c>
      <c r="C28" s="173"/>
      <c r="D28" s="173"/>
      <c r="E28" s="173">
        <v>4</v>
      </c>
      <c r="F28" s="173"/>
      <c r="G28" s="173">
        <v>1778</v>
      </c>
      <c r="H28" s="173"/>
    </row>
    <row r="29" spans="1:8" x14ac:dyDescent="0.2">
      <c r="A29" s="173">
        <v>28</v>
      </c>
      <c r="B29" s="173" t="s">
        <v>3766</v>
      </c>
      <c r="C29" s="173"/>
      <c r="D29" s="173"/>
      <c r="E29" s="173">
        <v>0</v>
      </c>
      <c r="F29" s="173"/>
      <c r="G29" s="173">
        <v>1310</v>
      </c>
      <c r="H29" s="173"/>
    </row>
    <row r="30" spans="1:8" x14ac:dyDescent="0.2">
      <c r="A30" s="173">
        <v>29</v>
      </c>
      <c r="B30" s="173" t="s">
        <v>3600</v>
      </c>
      <c r="C30" s="175">
        <v>0.28000000000000003</v>
      </c>
      <c r="D30" s="175"/>
      <c r="E30" s="173">
        <v>4</v>
      </c>
      <c r="F30" s="173"/>
      <c r="G30" s="173">
        <v>2527</v>
      </c>
      <c r="H30" s="173"/>
    </row>
    <row r="31" spans="1:8" x14ac:dyDescent="0.2">
      <c r="A31" s="173">
        <v>30</v>
      </c>
      <c r="B31" s="173" t="s">
        <v>3074</v>
      </c>
      <c r="C31" s="173"/>
      <c r="D31" s="173"/>
      <c r="E31" s="173">
        <v>8</v>
      </c>
      <c r="F31" s="173"/>
      <c r="G31" s="173">
        <v>1391</v>
      </c>
      <c r="H31" s="173"/>
    </row>
    <row r="32" spans="1:8" x14ac:dyDescent="0.2">
      <c r="A32" s="173">
        <v>31</v>
      </c>
      <c r="B32" s="173" t="s">
        <v>1611</v>
      </c>
      <c r="C32" s="173"/>
      <c r="D32" s="173"/>
      <c r="E32" s="173">
        <v>0</v>
      </c>
      <c r="F32" s="173"/>
      <c r="G32" s="173">
        <v>923</v>
      </c>
      <c r="H32" s="173"/>
    </row>
    <row r="33" spans="1:8" x14ac:dyDescent="0.2">
      <c r="A33" s="173">
        <v>32</v>
      </c>
      <c r="B33" s="173" t="s">
        <v>1528</v>
      </c>
      <c r="C33" s="173"/>
      <c r="D33" s="173"/>
      <c r="E33" s="173">
        <v>0</v>
      </c>
      <c r="F33" s="173"/>
      <c r="G33" s="173">
        <v>797</v>
      </c>
      <c r="H33" s="173"/>
    </row>
    <row r="34" spans="1:8" x14ac:dyDescent="0.2">
      <c r="A34" s="173">
        <v>33</v>
      </c>
      <c r="B34" s="173" t="s">
        <v>1677</v>
      </c>
      <c r="C34" s="173"/>
      <c r="D34" s="173"/>
      <c r="E34" s="173">
        <v>0</v>
      </c>
      <c r="F34" s="173"/>
      <c r="G34" s="173">
        <v>154</v>
      </c>
      <c r="H34" s="173" t="s">
        <v>669</v>
      </c>
    </row>
    <row r="35" spans="1:8" x14ac:dyDescent="0.2">
      <c r="A35" s="173">
        <v>34</v>
      </c>
      <c r="B35" s="173" t="s">
        <v>1805</v>
      </c>
      <c r="C35" s="173"/>
      <c r="D35" s="173"/>
      <c r="E35" s="173">
        <v>0</v>
      </c>
      <c r="F35" s="173"/>
      <c r="G35" s="173">
        <v>374</v>
      </c>
      <c r="H35" s="173"/>
    </row>
    <row r="36" spans="1:8" x14ac:dyDescent="0.2">
      <c r="A36" s="173">
        <v>35</v>
      </c>
      <c r="B36" s="173" t="s">
        <v>3526</v>
      </c>
      <c r="C36" s="173"/>
      <c r="D36" s="173"/>
      <c r="E36" s="173">
        <v>10</v>
      </c>
      <c r="F36" s="173"/>
      <c r="G36" s="173">
        <v>761</v>
      </c>
      <c r="H36" s="173"/>
    </row>
    <row r="37" spans="1:8" x14ac:dyDescent="0.2">
      <c r="A37" s="173">
        <v>36</v>
      </c>
      <c r="B37" s="173" t="s">
        <v>1797</v>
      </c>
      <c r="C37" s="173"/>
      <c r="D37" s="173"/>
      <c r="E37" s="173">
        <v>0</v>
      </c>
      <c r="F37" s="173"/>
      <c r="G37" s="173">
        <v>635</v>
      </c>
      <c r="H37" s="173" t="s">
        <v>669</v>
      </c>
    </row>
    <row r="38" spans="1:8" x14ac:dyDescent="0.2">
      <c r="A38" s="173">
        <v>37</v>
      </c>
      <c r="B38" s="173" t="s">
        <v>1607</v>
      </c>
      <c r="C38" s="175">
        <v>0.28000000000000003</v>
      </c>
      <c r="D38" s="175"/>
      <c r="E38" s="173">
        <v>20</v>
      </c>
      <c r="F38" s="173"/>
      <c r="G38" s="173">
        <v>921</v>
      </c>
      <c r="H38" s="173"/>
    </row>
    <row r="39" spans="1:8" x14ac:dyDescent="0.2">
      <c r="A39" s="173">
        <v>38</v>
      </c>
      <c r="B39" s="173" t="s">
        <v>1609</v>
      </c>
      <c r="C39" s="175">
        <v>0.28000000000000003</v>
      </c>
      <c r="D39" s="175"/>
      <c r="E39" s="173">
        <v>0</v>
      </c>
      <c r="F39" s="173"/>
      <c r="G39" s="173">
        <v>1072</v>
      </c>
      <c r="H39" s="173"/>
    </row>
    <row r="40" spans="1:8" x14ac:dyDescent="0.2">
      <c r="A40" s="173">
        <v>39</v>
      </c>
      <c r="B40" s="173" t="s">
        <v>1461</v>
      </c>
      <c r="C40" s="173" t="s">
        <v>2153</v>
      </c>
      <c r="D40" s="173"/>
      <c r="E40" s="173">
        <v>0</v>
      </c>
      <c r="F40" s="173">
        <v>173.5</v>
      </c>
      <c r="G40" s="173">
        <v>392</v>
      </c>
      <c r="H40" s="173"/>
    </row>
    <row r="41" spans="1:8" x14ac:dyDescent="0.2">
      <c r="A41" s="173">
        <v>40</v>
      </c>
      <c r="B41" s="173" t="s">
        <v>1505</v>
      </c>
      <c r="C41" s="175">
        <v>0.18</v>
      </c>
      <c r="D41" s="175"/>
      <c r="E41" s="173">
        <v>0</v>
      </c>
      <c r="F41" s="173"/>
      <c r="G41" s="173">
        <v>721</v>
      </c>
      <c r="H41" s="173"/>
    </row>
    <row r="42" spans="1:8" x14ac:dyDescent="0.2">
      <c r="A42" s="173">
        <v>41</v>
      </c>
      <c r="B42" s="173" t="s">
        <v>4177</v>
      </c>
      <c r="C42" s="173"/>
      <c r="D42" s="173"/>
      <c r="E42" s="173">
        <v>0</v>
      </c>
      <c r="F42" s="173"/>
      <c r="G42" s="173"/>
      <c r="H42" s="173"/>
    </row>
    <row r="43" spans="1:8" x14ac:dyDescent="0.2">
      <c r="A43" s="173">
        <v>42</v>
      </c>
      <c r="B43" s="173" t="s">
        <v>4617</v>
      </c>
      <c r="C43" s="173"/>
      <c r="D43" s="173"/>
      <c r="E43" s="173">
        <v>0</v>
      </c>
      <c r="F43" s="173"/>
      <c r="G43" s="173">
        <v>12200</v>
      </c>
      <c r="H43" s="173"/>
    </row>
    <row r="44" spans="1:8" x14ac:dyDescent="0.2">
      <c r="A44" s="173">
        <v>43</v>
      </c>
      <c r="B44" s="173" t="s">
        <v>4618</v>
      </c>
      <c r="C44" s="173"/>
      <c r="D44" s="173"/>
      <c r="E44" s="173">
        <v>0</v>
      </c>
      <c r="F44" s="173"/>
      <c r="G44" s="173">
        <v>17300</v>
      </c>
      <c r="H44" s="173"/>
    </row>
    <row r="45" spans="1:8" x14ac:dyDescent="0.2">
      <c r="A45" s="173">
        <v>44</v>
      </c>
      <c r="B45" s="173" t="s">
        <v>1530</v>
      </c>
      <c r="C45" s="173"/>
      <c r="D45" s="173"/>
      <c r="E45" s="173">
        <v>1</v>
      </c>
      <c r="F45" s="173"/>
      <c r="G45" s="173">
        <v>914</v>
      </c>
      <c r="H45" s="173"/>
    </row>
    <row r="46" spans="1:8" x14ac:dyDescent="0.2">
      <c r="A46" s="173">
        <v>45</v>
      </c>
      <c r="B46" s="173" t="s">
        <v>3276</v>
      </c>
      <c r="C46" s="173"/>
      <c r="D46" s="173"/>
      <c r="E46" s="173">
        <v>1</v>
      </c>
      <c r="F46" s="173"/>
      <c r="G46" s="173">
        <v>1697</v>
      </c>
      <c r="H46" s="173"/>
    </row>
    <row r="47" spans="1:8" x14ac:dyDescent="0.2">
      <c r="A47" s="173">
        <v>46</v>
      </c>
      <c r="B47" s="173" t="s">
        <v>3592</v>
      </c>
      <c r="C47" s="173"/>
      <c r="D47" s="173"/>
      <c r="E47" s="173">
        <v>1</v>
      </c>
      <c r="F47" s="173"/>
      <c r="G47" s="173">
        <v>4297</v>
      </c>
      <c r="H47" s="173"/>
    </row>
    <row r="48" spans="1:8" x14ac:dyDescent="0.2">
      <c r="A48" s="173">
        <v>47</v>
      </c>
      <c r="B48" s="173" t="s">
        <v>3596</v>
      </c>
      <c r="C48" s="173"/>
      <c r="D48" s="173"/>
      <c r="E48" s="173">
        <v>1</v>
      </c>
      <c r="F48" s="173"/>
      <c r="G48" s="173">
        <v>2129</v>
      </c>
      <c r="H48" s="173"/>
    </row>
    <row r="49" spans="1:8" x14ac:dyDescent="0.2">
      <c r="A49" s="173">
        <v>48</v>
      </c>
      <c r="B49" s="173" t="s">
        <v>3724</v>
      </c>
      <c r="C49" s="173" t="s">
        <v>3725</v>
      </c>
      <c r="D49" s="173"/>
      <c r="E49" s="173">
        <v>1</v>
      </c>
      <c r="F49" s="173"/>
      <c r="G49" s="173">
        <v>4761</v>
      </c>
      <c r="H49" s="173"/>
    </row>
    <row r="50" spans="1:8" x14ac:dyDescent="0.2">
      <c r="A50" s="173">
        <v>49</v>
      </c>
      <c r="B50" s="173" t="s">
        <v>3760</v>
      </c>
      <c r="C50" s="173"/>
      <c r="D50" s="173"/>
      <c r="E50" s="173">
        <v>1</v>
      </c>
      <c r="F50" s="173"/>
      <c r="G50" s="173">
        <v>1550</v>
      </c>
      <c r="H50" s="173"/>
    </row>
    <row r="51" spans="1:8" x14ac:dyDescent="0.2">
      <c r="A51" s="173">
        <v>50</v>
      </c>
      <c r="B51" s="173" t="s">
        <v>3203</v>
      </c>
      <c r="C51" s="173"/>
      <c r="D51" s="173"/>
      <c r="E51" s="173">
        <v>11</v>
      </c>
      <c r="F51" s="173"/>
      <c r="G51" s="173" t="s">
        <v>4653</v>
      </c>
      <c r="H51" s="173"/>
    </row>
    <row r="52" spans="1:8" x14ac:dyDescent="0.2">
      <c r="A52" s="173">
        <v>51</v>
      </c>
      <c r="B52" s="173" t="s">
        <v>4013</v>
      </c>
      <c r="C52" s="173"/>
      <c r="D52" s="173"/>
      <c r="E52" s="173">
        <v>2</v>
      </c>
      <c r="F52" s="173"/>
      <c r="G52" s="173">
        <v>4226</v>
      </c>
      <c r="H52" s="173"/>
    </row>
    <row r="53" spans="1:8" x14ac:dyDescent="0.2">
      <c r="A53" s="173">
        <v>52</v>
      </c>
      <c r="B53" s="173" t="s">
        <v>4243</v>
      </c>
      <c r="C53" s="173"/>
      <c r="D53" s="173"/>
      <c r="E53" s="173">
        <v>1</v>
      </c>
      <c r="F53" s="173"/>
      <c r="G53" s="173">
        <v>1193</v>
      </c>
      <c r="H53" s="173"/>
    </row>
    <row r="54" spans="1:8" x14ac:dyDescent="0.2">
      <c r="A54" s="173">
        <v>53</v>
      </c>
      <c r="B54" s="173" t="s">
        <v>4282</v>
      </c>
      <c r="C54" s="173"/>
      <c r="D54" s="173"/>
      <c r="E54" s="173">
        <v>1</v>
      </c>
      <c r="F54" s="173"/>
      <c r="G54" s="173">
        <v>2696</v>
      </c>
      <c r="H54" s="173"/>
    </row>
    <row r="55" spans="1:8" x14ac:dyDescent="0.2">
      <c r="A55" s="173">
        <v>54</v>
      </c>
      <c r="B55" s="173" t="s">
        <v>4283</v>
      </c>
      <c r="C55" s="173"/>
      <c r="D55" s="173"/>
      <c r="E55" s="173">
        <v>1</v>
      </c>
      <c r="F55" s="173"/>
      <c r="G55" s="173">
        <v>2777</v>
      </c>
      <c r="H55" s="173"/>
    </row>
    <row r="56" spans="1:8" x14ac:dyDescent="0.2">
      <c r="A56" s="173">
        <v>55</v>
      </c>
      <c r="B56" s="173" t="s">
        <v>3310</v>
      </c>
      <c r="C56" s="173"/>
      <c r="D56" s="173"/>
      <c r="E56" s="173">
        <v>1</v>
      </c>
      <c r="F56" s="173"/>
      <c r="G56" s="173">
        <v>1760</v>
      </c>
      <c r="H56" s="173"/>
    </row>
    <row r="57" spans="1:8" x14ac:dyDescent="0.2">
      <c r="A57" s="173">
        <v>56</v>
      </c>
      <c r="B57" s="173" t="s">
        <v>4328</v>
      </c>
      <c r="C57" s="173"/>
      <c r="D57" s="173"/>
      <c r="E57" s="173">
        <v>1</v>
      </c>
      <c r="F57" s="173"/>
      <c r="G57" s="173">
        <v>5060</v>
      </c>
      <c r="H57" s="173"/>
    </row>
    <row r="58" spans="1:8" x14ac:dyDescent="0.2">
      <c r="A58" s="173">
        <v>57</v>
      </c>
      <c r="B58" s="173" t="s">
        <v>1623</v>
      </c>
      <c r="C58" s="173"/>
      <c r="D58" s="173"/>
      <c r="E58" s="173">
        <v>1</v>
      </c>
      <c r="F58" s="173"/>
      <c r="G58" s="173">
        <v>842</v>
      </c>
      <c r="H58" s="173"/>
    </row>
    <row r="59" spans="1:8" x14ac:dyDescent="0.2">
      <c r="A59" s="173">
        <v>58</v>
      </c>
      <c r="B59" s="173" t="s">
        <v>3619</v>
      </c>
      <c r="C59" s="173"/>
      <c r="D59" s="173"/>
      <c r="E59" s="173">
        <v>1</v>
      </c>
      <c r="F59" s="173"/>
      <c r="G59" s="173">
        <v>2350</v>
      </c>
      <c r="H59" s="173"/>
    </row>
    <row r="60" spans="1:8" x14ac:dyDescent="0.2">
      <c r="A60" s="173">
        <v>59</v>
      </c>
      <c r="B60" s="173" t="s">
        <v>3522</v>
      </c>
      <c r="C60" s="173"/>
      <c r="D60" s="173"/>
      <c r="E60" s="173">
        <v>3</v>
      </c>
      <c r="F60" s="173"/>
      <c r="G60" s="173">
        <v>3798</v>
      </c>
      <c r="H60" s="173"/>
    </row>
    <row r="61" spans="1:8" x14ac:dyDescent="0.2">
      <c r="A61" s="173">
        <v>60</v>
      </c>
      <c r="B61" s="173" t="s">
        <v>3758</v>
      </c>
      <c r="C61" s="173"/>
      <c r="D61" s="173"/>
      <c r="E61" s="173">
        <v>2</v>
      </c>
      <c r="F61" s="173"/>
      <c r="G61" s="173">
        <v>2090</v>
      </c>
      <c r="H61" s="173" t="s">
        <v>3966</v>
      </c>
    </row>
    <row r="62" spans="1:8" x14ac:dyDescent="0.2">
      <c r="A62" s="173">
        <v>61</v>
      </c>
      <c r="B62" s="173" t="s">
        <v>3988</v>
      </c>
      <c r="C62" s="173"/>
      <c r="D62" s="173"/>
      <c r="E62" s="173">
        <v>1</v>
      </c>
      <c r="F62" s="173"/>
      <c r="G62" s="173">
        <v>1640</v>
      </c>
      <c r="H62" s="173"/>
    </row>
    <row r="63" spans="1:8" x14ac:dyDescent="0.2">
      <c r="A63" s="173">
        <v>62</v>
      </c>
      <c r="B63" s="173" t="s">
        <v>3737</v>
      </c>
      <c r="C63" s="173" t="s">
        <v>3738</v>
      </c>
      <c r="D63" s="173"/>
      <c r="E63" s="173">
        <v>1</v>
      </c>
      <c r="F63" s="173"/>
      <c r="G63" s="173">
        <v>2200</v>
      </c>
      <c r="H63" s="173"/>
    </row>
    <row r="64" spans="1:8" x14ac:dyDescent="0.2">
      <c r="A64" s="173">
        <v>63</v>
      </c>
      <c r="B64" s="173" t="s">
        <v>3762</v>
      </c>
      <c r="C64" s="173"/>
      <c r="D64" s="173"/>
      <c r="E64" s="173">
        <v>1</v>
      </c>
      <c r="F64" s="173"/>
      <c r="G64" s="173">
        <v>563</v>
      </c>
      <c r="H64" s="173"/>
    </row>
    <row r="65" spans="1:8" x14ac:dyDescent="0.2">
      <c r="A65" s="173">
        <v>64</v>
      </c>
      <c r="B65" s="173" t="s">
        <v>1502</v>
      </c>
      <c r="C65" s="173"/>
      <c r="D65" s="173"/>
      <c r="E65" s="173">
        <v>1</v>
      </c>
      <c r="F65" s="173">
        <v>196</v>
      </c>
      <c r="G65" s="173">
        <v>455</v>
      </c>
      <c r="H65" s="173" t="s">
        <v>2370</v>
      </c>
    </row>
    <row r="66" spans="1:8" x14ac:dyDescent="0.2">
      <c r="A66" s="173">
        <v>65</v>
      </c>
      <c r="B66" s="173" t="s">
        <v>1471</v>
      </c>
      <c r="C66" s="173" t="s">
        <v>2168</v>
      </c>
      <c r="D66" s="173"/>
      <c r="E66" s="173">
        <v>1</v>
      </c>
      <c r="F66" s="173">
        <v>166.5</v>
      </c>
      <c r="G66" s="173">
        <v>383</v>
      </c>
      <c r="H66" s="173"/>
    </row>
    <row r="67" spans="1:8" x14ac:dyDescent="0.2">
      <c r="A67" s="173">
        <v>66</v>
      </c>
      <c r="B67" s="173" t="s">
        <v>4620</v>
      </c>
      <c r="C67" s="173"/>
      <c r="D67" s="173"/>
      <c r="E67" s="173">
        <v>1</v>
      </c>
      <c r="F67" s="173"/>
      <c r="G67" s="173">
        <v>1490</v>
      </c>
      <c r="H67" s="173"/>
    </row>
    <row r="68" spans="1:8" x14ac:dyDescent="0.2">
      <c r="A68" s="173">
        <v>67</v>
      </c>
      <c r="B68" s="173" t="s">
        <v>3626</v>
      </c>
      <c r="C68" s="173"/>
      <c r="D68" s="173"/>
      <c r="E68" s="173">
        <v>2</v>
      </c>
      <c r="F68" s="173"/>
      <c r="G68" s="173">
        <v>1540</v>
      </c>
      <c r="H68" s="173"/>
    </row>
    <row r="69" spans="1:8" x14ac:dyDescent="0.2">
      <c r="A69" s="173">
        <v>68</v>
      </c>
      <c r="B69" s="173" t="s">
        <v>3196</v>
      </c>
      <c r="C69" s="173"/>
      <c r="D69" s="173"/>
      <c r="E69" s="173">
        <v>8</v>
      </c>
      <c r="F69" s="173"/>
      <c r="G69" s="173">
        <v>1562</v>
      </c>
      <c r="H69" s="173"/>
    </row>
    <row r="70" spans="1:8" x14ac:dyDescent="0.2">
      <c r="A70" s="173">
        <v>69</v>
      </c>
      <c r="B70" s="173" t="s">
        <v>3986</v>
      </c>
      <c r="C70" s="173"/>
      <c r="D70" s="173"/>
      <c r="E70" s="173">
        <v>2</v>
      </c>
      <c r="F70" s="173"/>
      <c r="G70" s="173">
        <v>1890</v>
      </c>
      <c r="H70" s="173"/>
    </row>
    <row r="71" spans="1:8" x14ac:dyDescent="0.2">
      <c r="A71" s="173">
        <v>70</v>
      </c>
      <c r="B71" s="173" t="s">
        <v>3527</v>
      </c>
      <c r="C71" s="173"/>
      <c r="D71" s="173"/>
      <c r="E71" s="173">
        <v>2</v>
      </c>
      <c r="F71" s="173"/>
      <c r="G71" s="173">
        <v>3580</v>
      </c>
      <c r="H71" s="173"/>
    </row>
    <row r="72" spans="1:8" x14ac:dyDescent="0.2">
      <c r="A72" s="173">
        <v>71</v>
      </c>
      <c r="B72" s="173" t="s">
        <v>3822</v>
      </c>
      <c r="C72" s="175"/>
      <c r="D72" s="175"/>
      <c r="E72" s="173">
        <v>2</v>
      </c>
      <c r="F72" s="173"/>
      <c r="G72" s="173">
        <v>2949</v>
      </c>
      <c r="H72" s="173"/>
    </row>
    <row r="73" spans="1:8" x14ac:dyDescent="0.2">
      <c r="A73" s="173">
        <v>72</v>
      </c>
      <c r="B73" s="173" t="s">
        <v>3301</v>
      </c>
      <c r="C73" s="173"/>
      <c r="D73" s="173"/>
      <c r="E73" s="173">
        <v>2</v>
      </c>
      <c r="F73" s="173"/>
      <c r="G73" s="173">
        <v>2093</v>
      </c>
      <c r="H73" s="173"/>
    </row>
    <row r="74" spans="1:8" x14ac:dyDescent="0.2">
      <c r="A74" s="173">
        <v>73</v>
      </c>
      <c r="B74" s="173" t="s">
        <v>3302</v>
      </c>
      <c r="C74" s="173"/>
      <c r="D74" s="173"/>
      <c r="E74" s="173">
        <v>2</v>
      </c>
      <c r="F74" s="173"/>
      <c r="G74" s="173">
        <v>2192</v>
      </c>
      <c r="H74" s="173"/>
    </row>
    <row r="75" spans="1:8" x14ac:dyDescent="0.2">
      <c r="A75" s="173">
        <v>74</v>
      </c>
      <c r="B75" s="173" t="s">
        <v>3330</v>
      </c>
      <c r="C75" s="173"/>
      <c r="D75" s="173"/>
      <c r="E75" s="173">
        <v>2</v>
      </c>
      <c r="F75" s="173"/>
      <c r="G75" s="173">
        <v>1760</v>
      </c>
      <c r="H75" s="173"/>
    </row>
    <row r="76" spans="1:8" x14ac:dyDescent="0.2">
      <c r="A76" s="173">
        <v>75</v>
      </c>
      <c r="B76" s="173" t="s">
        <v>1485</v>
      </c>
      <c r="C76" s="173"/>
      <c r="D76" s="173"/>
      <c r="E76" s="173">
        <v>2</v>
      </c>
      <c r="F76" s="173">
        <v>642</v>
      </c>
      <c r="G76" s="173">
        <f>F76*2</f>
        <v>1284</v>
      </c>
      <c r="H76" s="173"/>
    </row>
    <row r="77" spans="1:8" x14ac:dyDescent="0.2">
      <c r="A77" s="173">
        <v>76</v>
      </c>
      <c r="B77" s="173" t="s">
        <v>3756</v>
      </c>
      <c r="C77" s="173"/>
      <c r="D77" s="173"/>
      <c r="E77" s="173">
        <v>2</v>
      </c>
      <c r="F77" s="173"/>
      <c r="G77" s="173">
        <v>3170</v>
      </c>
      <c r="H77" s="173"/>
    </row>
    <row r="78" spans="1:8" x14ac:dyDescent="0.2">
      <c r="A78" s="173">
        <v>77</v>
      </c>
      <c r="B78" s="173" t="s">
        <v>3316</v>
      </c>
      <c r="C78" s="173" t="s">
        <v>3317</v>
      </c>
      <c r="D78" s="173"/>
      <c r="E78" s="173">
        <v>2</v>
      </c>
      <c r="F78" s="173"/>
      <c r="G78" s="173">
        <v>2030</v>
      </c>
      <c r="H78" s="173"/>
    </row>
    <row r="79" spans="1:8" x14ac:dyDescent="0.2">
      <c r="A79" s="173">
        <v>78</v>
      </c>
      <c r="B79" s="173" t="s">
        <v>3324</v>
      </c>
      <c r="C79" s="173" t="s">
        <v>3325</v>
      </c>
      <c r="D79" s="173"/>
      <c r="E79" s="173">
        <v>2</v>
      </c>
      <c r="F79" s="173"/>
      <c r="G79" s="173">
        <v>3902</v>
      </c>
      <c r="H79" s="173"/>
    </row>
    <row r="80" spans="1:8" x14ac:dyDescent="0.2">
      <c r="A80" s="173">
        <v>79</v>
      </c>
      <c r="B80" s="173" t="s">
        <v>3319</v>
      </c>
      <c r="C80" s="173"/>
      <c r="D80" s="173"/>
      <c r="E80" s="173">
        <v>1</v>
      </c>
      <c r="F80" s="173"/>
      <c r="G80" s="173">
        <v>2093</v>
      </c>
      <c r="H80" s="173"/>
    </row>
    <row r="81" spans="1:8" x14ac:dyDescent="0.2">
      <c r="A81" s="173">
        <v>80</v>
      </c>
      <c r="B81" s="173" t="s">
        <v>3751</v>
      </c>
      <c r="C81" s="173"/>
      <c r="D81" s="173"/>
      <c r="E81" s="173">
        <v>2</v>
      </c>
      <c r="F81" s="173"/>
      <c r="G81" s="173">
        <v>2650</v>
      </c>
      <c r="H81" s="173"/>
    </row>
    <row r="82" spans="1:8" x14ac:dyDescent="0.2">
      <c r="A82" s="173">
        <v>81</v>
      </c>
      <c r="B82" s="173" t="s">
        <v>4314</v>
      </c>
      <c r="C82" s="173"/>
      <c r="D82" s="173"/>
      <c r="E82" s="173">
        <v>2</v>
      </c>
      <c r="F82" s="173"/>
      <c r="G82" s="173">
        <v>4430</v>
      </c>
      <c r="H82" s="173"/>
    </row>
    <row r="83" spans="1:8" x14ac:dyDescent="0.2">
      <c r="A83" s="173">
        <v>82</v>
      </c>
      <c r="B83" s="173" t="s">
        <v>4316</v>
      </c>
      <c r="C83" s="173"/>
      <c r="D83" s="173"/>
      <c r="E83" s="173">
        <v>2</v>
      </c>
      <c r="F83" s="173"/>
      <c r="G83" s="173">
        <v>4700</v>
      </c>
      <c r="H83" s="173"/>
    </row>
    <row r="84" spans="1:8" x14ac:dyDescent="0.2">
      <c r="A84" s="173">
        <v>83</v>
      </c>
      <c r="B84" s="173" t="s">
        <v>4332</v>
      </c>
      <c r="C84" s="173"/>
      <c r="D84" s="173"/>
      <c r="E84" s="173">
        <v>2</v>
      </c>
      <c r="F84" s="173"/>
      <c r="G84" s="173">
        <v>3600</v>
      </c>
      <c r="H84" s="173"/>
    </row>
    <row r="85" spans="1:8" x14ac:dyDescent="0.2">
      <c r="A85" s="173">
        <v>84</v>
      </c>
      <c r="B85" s="173" t="s">
        <v>4336</v>
      </c>
      <c r="C85" s="173"/>
      <c r="D85" s="173"/>
      <c r="E85" s="173">
        <v>2</v>
      </c>
      <c r="F85" s="173"/>
      <c r="G85" s="173">
        <v>1175</v>
      </c>
      <c r="H85" s="173"/>
    </row>
    <row r="86" spans="1:8" x14ac:dyDescent="0.2">
      <c r="A86" s="173">
        <v>85</v>
      </c>
      <c r="B86" s="173" t="s">
        <v>1531</v>
      </c>
      <c r="C86" s="173"/>
      <c r="D86" s="173"/>
      <c r="E86" s="173">
        <v>2</v>
      </c>
      <c r="F86" s="173"/>
      <c r="G86" s="173">
        <v>671</v>
      </c>
      <c r="H86" s="173"/>
    </row>
    <row r="87" spans="1:8" x14ac:dyDescent="0.2">
      <c r="A87" s="173">
        <v>86</v>
      </c>
      <c r="B87" s="173" t="s">
        <v>4202</v>
      </c>
      <c r="C87" s="173"/>
      <c r="D87" s="173"/>
      <c r="E87" s="173">
        <v>2</v>
      </c>
      <c r="F87" s="173"/>
      <c r="G87" s="173">
        <v>1319</v>
      </c>
      <c r="H87" s="173"/>
    </row>
    <row r="88" spans="1:8" x14ac:dyDescent="0.2">
      <c r="A88" s="173">
        <v>87</v>
      </c>
      <c r="B88" s="173" t="s">
        <v>3304</v>
      </c>
      <c r="C88" s="173"/>
      <c r="D88" s="173"/>
      <c r="E88" s="173">
        <v>2</v>
      </c>
      <c r="F88" s="173"/>
      <c r="G88" s="173">
        <v>2120</v>
      </c>
      <c r="H88" s="173"/>
    </row>
    <row r="89" spans="1:8" x14ac:dyDescent="0.2">
      <c r="A89" s="173">
        <v>88</v>
      </c>
      <c r="B89" s="173" t="s">
        <v>3540</v>
      </c>
      <c r="C89" s="173"/>
      <c r="D89" s="173"/>
      <c r="E89" s="173">
        <v>2</v>
      </c>
      <c r="F89" s="173"/>
      <c r="G89" s="173">
        <v>2453</v>
      </c>
      <c r="H89" s="173"/>
    </row>
    <row r="90" spans="1:8" x14ac:dyDescent="0.2">
      <c r="A90" s="173">
        <v>89</v>
      </c>
      <c r="B90" s="173" t="s">
        <v>3320</v>
      </c>
      <c r="C90" s="173"/>
      <c r="D90" s="173"/>
      <c r="E90" s="173">
        <v>2</v>
      </c>
      <c r="F90" s="173"/>
      <c r="G90" s="173">
        <v>1994</v>
      </c>
      <c r="H90" s="173"/>
    </row>
    <row r="91" spans="1:8" x14ac:dyDescent="0.2">
      <c r="A91" s="173">
        <v>90</v>
      </c>
      <c r="B91" s="173" t="s">
        <v>3314</v>
      </c>
      <c r="C91" s="173" t="s">
        <v>3315</v>
      </c>
      <c r="D91" s="173"/>
      <c r="E91" s="173">
        <v>2</v>
      </c>
      <c r="F91" s="173"/>
      <c r="G91" s="173">
        <v>2210</v>
      </c>
      <c r="H91" s="173"/>
    </row>
    <row r="92" spans="1:8" x14ac:dyDescent="0.2">
      <c r="A92" s="173">
        <v>91</v>
      </c>
      <c r="B92" s="173" t="s">
        <v>3382</v>
      </c>
      <c r="C92" s="173"/>
      <c r="D92" s="173"/>
      <c r="E92" s="173">
        <v>2</v>
      </c>
      <c r="F92" s="173"/>
      <c r="G92" s="173">
        <v>1769</v>
      </c>
      <c r="H92" s="173"/>
    </row>
    <row r="93" spans="1:8" x14ac:dyDescent="0.2">
      <c r="A93" s="173">
        <v>92</v>
      </c>
      <c r="B93" s="173" t="s">
        <v>3813</v>
      </c>
      <c r="C93" s="173"/>
      <c r="D93" s="173"/>
      <c r="E93" s="173">
        <v>2</v>
      </c>
      <c r="F93" s="173"/>
      <c r="G93" s="173">
        <v>1598</v>
      </c>
      <c r="H93" s="173"/>
    </row>
    <row r="94" spans="1:8" x14ac:dyDescent="0.2">
      <c r="A94" s="173">
        <v>93</v>
      </c>
      <c r="B94" s="173" t="s">
        <v>4425</v>
      </c>
      <c r="C94" s="175"/>
      <c r="D94" s="175"/>
      <c r="E94" s="173">
        <v>2</v>
      </c>
      <c r="F94" s="173"/>
      <c r="G94" s="173">
        <v>2100</v>
      </c>
      <c r="H94" s="173"/>
    </row>
    <row r="95" spans="1:8" x14ac:dyDescent="0.2">
      <c r="A95" s="173">
        <v>94</v>
      </c>
      <c r="B95" s="173" t="s">
        <v>3197</v>
      </c>
      <c r="C95" s="173"/>
      <c r="D95" s="173"/>
      <c r="E95" s="173">
        <v>2</v>
      </c>
      <c r="F95" s="173"/>
      <c r="G95" s="173">
        <v>1787</v>
      </c>
      <c r="H95" s="173"/>
    </row>
    <row r="96" spans="1:8" x14ac:dyDescent="0.2">
      <c r="A96" s="173">
        <v>95</v>
      </c>
      <c r="B96" s="173" t="s">
        <v>4334</v>
      </c>
      <c r="C96" s="173"/>
      <c r="D96" s="173"/>
      <c r="E96" s="173">
        <v>8</v>
      </c>
      <c r="F96" s="173"/>
      <c r="G96" s="173">
        <v>752</v>
      </c>
      <c r="H96" s="173"/>
    </row>
    <row r="97" spans="1:8" x14ac:dyDescent="0.2">
      <c r="A97" s="173">
        <v>96</v>
      </c>
      <c r="B97" s="173" t="s">
        <v>3733</v>
      </c>
      <c r="C97" s="173"/>
      <c r="D97" s="173"/>
      <c r="E97" s="173">
        <v>2</v>
      </c>
      <c r="F97" s="173"/>
      <c r="G97" s="173">
        <v>280</v>
      </c>
      <c r="H97" s="173"/>
    </row>
    <row r="98" spans="1:8" x14ac:dyDescent="0.2">
      <c r="A98" s="173">
        <v>97</v>
      </c>
      <c r="B98" s="173" t="s">
        <v>2372</v>
      </c>
      <c r="C98" s="173"/>
      <c r="D98" s="173"/>
      <c r="E98" s="173">
        <v>20</v>
      </c>
      <c r="F98" s="173"/>
      <c r="G98" s="173">
        <v>266</v>
      </c>
      <c r="H98" s="173"/>
    </row>
    <row r="99" spans="1:8" x14ac:dyDescent="0.2">
      <c r="A99" s="173">
        <v>98</v>
      </c>
      <c r="B99" s="173" t="s">
        <v>4459</v>
      </c>
      <c r="C99" s="175"/>
      <c r="D99" s="175"/>
      <c r="E99" s="173">
        <v>2</v>
      </c>
      <c r="F99" s="173"/>
      <c r="G99" s="173">
        <v>2480</v>
      </c>
      <c r="H99" s="173"/>
    </row>
    <row r="100" spans="1:8" x14ac:dyDescent="0.2">
      <c r="A100" s="173">
        <v>99</v>
      </c>
      <c r="B100" s="173" t="s">
        <v>4460</v>
      </c>
      <c r="C100" s="173"/>
      <c r="D100" s="173"/>
      <c r="E100" s="173">
        <v>2</v>
      </c>
      <c r="F100" s="173"/>
      <c r="G100" s="173">
        <v>4217</v>
      </c>
      <c r="H100" s="173"/>
    </row>
    <row r="101" spans="1:8" x14ac:dyDescent="0.2">
      <c r="A101" s="173">
        <v>100</v>
      </c>
      <c r="B101" s="173" t="s">
        <v>4461</v>
      </c>
      <c r="C101" s="173"/>
      <c r="D101" s="173"/>
      <c r="E101" s="173">
        <v>2</v>
      </c>
      <c r="F101" s="173"/>
      <c r="G101" s="173">
        <v>3539</v>
      </c>
      <c r="H101" s="173"/>
    </row>
    <row r="102" spans="1:8" x14ac:dyDescent="0.2">
      <c r="A102" s="173">
        <v>101</v>
      </c>
      <c r="B102" s="173" t="s">
        <v>4462</v>
      </c>
      <c r="C102" s="173"/>
      <c r="D102" s="173"/>
      <c r="E102" s="173">
        <v>2</v>
      </c>
      <c r="F102" s="173"/>
      <c r="G102" s="173">
        <v>4297</v>
      </c>
      <c r="H102" s="173"/>
    </row>
    <row r="103" spans="1:8" x14ac:dyDescent="0.2">
      <c r="A103" s="173">
        <v>102</v>
      </c>
      <c r="B103" s="173" t="s">
        <v>4463</v>
      </c>
      <c r="C103" s="173"/>
      <c r="D103" s="173"/>
      <c r="E103" s="173">
        <v>2</v>
      </c>
      <c r="F103" s="173"/>
      <c r="G103" s="173">
        <v>1490</v>
      </c>
      <c r="H103" s="173"/>
    </row>
    <row r="104" spans="1:8" x14ac:dyDescent="0.2">
      <c r="A104" s="173">
        <v>103</v>
      </c>
      <c r="B104" s="173" t="s">
        <v>1519</v>
      </c>
      <c r="C104" s="173"/>
      <c r="D104" s="173"/>
      <c r="E104" s="173">
        <v>3</v>
      </c>
      <c r="F104" s="173"/>
      <c r="G104" s="173">
        <v>473</v>
      </c>
      <c r="H104" s="173"/>
    </row>
    <row r="105" spans="1:8" x14ac:dyDescent="0.2">
      <c r="A105" s="173">
        <v>104</v>
      </c>
      <c r="B105" s="173" t="s">
        <v>4330</v>
      </c>
      <c r="C105" s="173"/>
      <c r="D105" s="173"/>
      <c r="E105" s="173">
        <v>3</v>
      </c>
      <c r="F105" s="173"/>
      <c r="G105" s="173">
        <v>2751</v>
      </c>
      <c r="H105" s="173"/>
    </row>
    <row r="106" spans="1:8" x14ac:dyDescent="0.2">
      <c r="A106" s="173">
        <v>105</v>
      </c>
      <c r="B106" s="173" t="s">
        <v>4331</v>
      </c>
      <c r="C106" s="173"/>
      <c r="D106" s="173"/>
      <c r="E106" s="173">
        <v>3</v>
      </c>
      <c r="F106" s="173"/>
      <c r="G106" s="173">
        <v>5100</v>
      </c>
      <c r="H106" s="173"/>
    </row>
    <row r="107" spans="1:8" x14ac:dyDescent="0.2">
      <c r="A107" s="173">
        <v>106</v>
      </c>
      <c r="B107" s="173" t="s">
        <v>3621</v>
      </c>
      <c r="C107" s="173"/>
      <c r="D107" s="173"/>
      <c r="E107" s="173">
        <v>3</v>
      </c>
      <c r="F107" s="173"/>
      <c r="G107" s="173">
        <v>2930</v>
      </c>
      <c r="H107" s="173"/>
    </row>
    <row r="108" spans="1:8" x14ac:dyDescent="0.2">
      <c r="A108" s="173">
        <v>107</v>
      </c>
      <c r="B108" s="173" t="s">
        <v>3729</v>
      </c>
      <c r="C108" s="173"/>
      <c r="D108" s="173"/>
      <c r="E108" s="173">
        <v>3</v>
      </c>
      <c r="F108" s="173"/>
      <c r="G108" s="173">
        <v>1994</v>
      </c>
      <c r="H108" s="173"/>
    </row>
    <row r="109" spans="1:8" x14ac:dyDescent="0.2">
      <c r="A109" s="173">
        <v>108</v>
      </c>
      <c r="B109" s="173" t="s">
        <v>3318</v>
      </c>
      <c r="C109" s="173"/>
      <c r="D109" s="173"/>
      <c r="E109" s="173">
        <v>2</v>
      </c>
      <c r="F109" s="173"/>
      <c r="G109" s="173">
        <v>2264</v>
      </c>
      <c r="H109" s="173"/>
    </row>
    <row r="110" spans="1:8" x14ac:dyDescent="0.2">
      <c r="A110" s="173">
        <v>109</v>
      </c>
      <c r="B110" s="173" t="s">
        <v>3298</v>
      </c>
      <c r="C110" s="173" t="s">
        <v>3299</v>
      </c>
      <c r="D110" s="173"/>
      <c r="E110" s="173">
        <v>3</v>
      </c>
      <c r="F110" s="173"/>
      <c r="G110" s="173">
        <v>4226</v>
      </c>
      <c r="H110" s="173"/>
    </row>
    <row r="111" spans="1:8" x14ac:dyDescent="0.2">
      <c r="A111" s="173">
        <v>110</v>
      </c>
      <c r="B111" s="173" t="s">
        <v>3821</v>
      </c>
      <c r="C111" s="175"/>
      <c r="D111" s="175"/>
      <c r="E111" s="173">
        <v>3</v>
      </c>
      <c r="F111" s="173"/>
      <c r="G111" s="173">
        <v>2605</v>
      </c>
      <c r="H111" s="173"/>
    </row>
    <row r="112" spans="1:8" x14ac:dyDescent="0.2">
      <c r="A112" s="173">
        <v>111</v>
      </c>
      <c r="B112" s="173" t="s">
        <v>3827</v>
      </c>
      <c r="C112" s="175"/>
      <c r="D112" s="175"/>
      <c r="E112" s="173">
        <v>2</v>
      </c>
      <c r="F112" s="173"/>
      <c r="G112" s="173">
        <v>815</v>
      </c>
      <c r="H112" s="173"/>
    </row>
    <row r="113" spans="1:8" x14ac:dyDescent="0.2">
      <c r="A113" s="173">
        <v>112</v>
      </c>
      <c r="B113" s="173" t="s">
        <v>1455</v>
      </c>
      <c r="C113" s="173"/>
      <c r="D113" s="173"/>
      <c r="E113" s="173">
        <v>3</v>
      </c>
      <c r="F113" s="173">
        <v>949.5</v>
      </c>
      <c r="G113" s="173">
        <v>2093</v>
      </c>
      <c r="H113" s="173"/>
    </row>
    <row r="114" spans="1:8" x14ac:dyDescent="0.2">
      <c r="A114" s="173">
        <v>113</v>
      </c>
      <c r="B114" s="173" t="s">
        <v>1506</v>
      </c>
      <c r="C114" s="173"/>
      <c r="D114" s="173"/>
      <c r="E114" s="173">
        <v>3</v>
      </c>
      <c r="F114" s="173"/>
      <c r="G114" s="173">
        <v>1076</v>
      </c>
      <c r="H114" s="173"/>
    </row>
    <row r="115" spans="1:8" x14ac:dyDescent="0.2">
      <c r="A115" s="173">
        <v>114</v>
      </c>
      <c r="B115" s="173" t="s">
        <v>3588</v>
      </c>
      <c r="C115" s="173"/>
      <c r="D115" s="173"/>
      <c r="E115" s="173">
        <v>3</v>
      </c>
      <c r="F115" s="173"/>
      <c r="G115" s="173">
        <v>932</v>
      </c>
      <c r="H115" s="173"/>
    </row>
    <row r="116" spans="1:8" x14ac:dyDescent="0.2">
      <c r="A116" s="173">
        <v>115</v>
      </c>
      <c r="B116" s="173" t="s">
        <v>1786</v>
      </c>
      <c r="C116" s="173"/>
      <c r="D116" s="173"/>
      <c r="E116" s="173">
        <v>3</v>
      </c>
      <c r="F116" s="173"/>
      <c r="G116" s="173">
        <v>1670</v>
      </c>
      <c r="H116" s="173" t="s">
        <v>669</v>
      </c>
    </row>
    <row r="117" spans="1:8" x14ac:dyDescent="0.2">
      <c r="A117" s="173">
        <v>116</v>
      </c>
      <c r="B117" s="173" t="s">
        <v>3744</v>
      </c>
      <c r="C117" s="173" t="s">
        <v>3745</v>
      </c>
      <c r="D117" s="173"/>
      <c r="E117" s="173">
        <v>3</v>
      </c>
      <c r="F117" s="173"/>
      <c r="G117" s="173">
        <v>1950</v>
      </c>
      <c r="H117" s="173"/>
    </row>
    <row r="118" spans="1:8" x14ac:dyDescent="0.2">
      <c r="A118" s="173">
        <v>117</v>
      </c>
      <c r="B118" s="173" t="s">
        <v>3313</v>
      </c>
      <c r="C118" s="173"/>
      <c r="D118" s="173"/>
      <c r="E118" s="173">
        <v>3</v>
      </c>
      <c r="F118" s="173"/>
      <c r="G118" s="173">
        <v>2093</v>
      </c>
      <c r="H118" s="173"/>
    </row>
    <row r="119" spans="1:8" x14ac:dyDescent="0.2">
      <c r="A119" s="173">
        <v>118</v>
      </c>
      <c r="B119" s="173" t="s">
        <v>3686</v>
      </c>
      <c r="C119" s="173"/>
      <c r="D119" s="173"/>
      <c r="E119" s="173">
        <v>3</v>
      </c>
      <c r="F119" s="173"/>
      <c r="G119" s="173">
        <v>1085</v>
      </c>
      <c r="H119" s="173"/>
    </row>
    <row r="120" spans="1:8" x14ac:dyDescent="0.2">
      <c r="A120" s="173">
        <v>119</v>
      </c>
      <c r="B120" s="173" t="s">
        <v>1504</v>
      </c>
      <c r="C120" s="173" t="s">
        <v>2150</v>
      </c>
      <c r="D120" s="173"/>
      <c r="E120" s="173">
        <v>2</v>
      </c>
      <c r="F120" s="173">
        <v>922.5</v>
      </c>
      <c r="G120" s="173">
        <v>1999</v>
      </c>
      <c r="H120" s="173"/>
    </row>
    <row r="121" spans="1:8" x14ac:dyDescent="0.2">
      <c r="A121" s="173">
        <v>120</v>
      </c>
      <c r="B121" s="173" t="s">
        <v>3896</v>
      </c>
      <c r="C121" s="173"/>
      <c r="D121" s="173"/>
      <c r="E121" s="173">
        <v>3</v>
      </c>
      <c r="F121" s="173"/>
      <c r="G121" s="173">
        <v>1225</v>
      </c>
      <c r="H121" s="173"/>
    </row>
    <row r="122" spans="1:8" x14ac:dyDescent="0.2">
      <c r="A122" s="173">
        <v>121</v>
      </c>
      <c r="B122" s="173" t="s">
        <v>3903</v>
      </c>
      <c r="C122" s="173"/>
      <c r="D122" s="173"/>
      <c r="E122" s="173">
        <v>3</v>
      </c>
      <c r="F122" s="173"/>
      <c r="G122" s="173">
        <v>995</v>
      </c>
      <c r="H122" s="173"/>
    </row>
    <row r="123" spans="1:8" x14ac:dyDescent="0.2">
      <c r="A123" s="173">
        <v>122</v>
      </c>
      <c r="B123" s="173" t="s">
        <v>3233</v>
      </c>
      <c r="C123" s="173"/>
      <c r="D123" s="173"/>
      <c r="E123" s="173">
        <v>2</v>
      </c>
      <c r="F123" s="173"/>
      <c r="G123" s="173">
        <v>3641</v>
      </c>
      <c r="H123" s="173"/>
    </row>
    <row r="124" spans="1:8" x14ac:dyDescent="0.2">
      <c r="A124" s="173">
        <v>123</v>
      </c>
      <c r="B124" s="173" t="s">
        <v>1525</v>
      </c>
      <c r="C124" s="173"/>
      <c r="D124" s="173"/>
      <c r="E124" s="173">
        <v>3</v>
      </c>
      <c r="F124" s="173"/>
      <c r="G124" s="173">
        <v>1445</v>
      </c>
      <c r="H124" s="173"/>
    </row>
    <row r="125" spans="1:8" x14ac:dyDescent="0.2">
      <c r="A125" s="173">
        <v>124</v>
      </c>
      <c r="B125" s="173" t="s">
        <v>4341</v>
      </c>
      <c r="C125" s="173"/>
      <c r="D125" s="173"/>
      <c r="E125" s="173">
        <v>3</v>
      </c>
      <c r="F125" s="173"/>
      <c r="G125" s="173">
        <v>3340</v>
      </c>
      <c r="H125" s="173"/>
    </row>
    <row r="126" spans="1:8" x14ac:dyDescent="0.2">
      <c r="A126" s="173">
        <v>125</v>
      </c>
      <c r="B126" s="173" t="s">
        <v>3021</v>
      </c>
      <c r="C126" s="173"/>
      <c r="D126" s="173"/>
      <c r="E126" s="173">
        <v>2</v>
      </c>
      <c r="F126" s="173"/>
      <c r="G126" s="173">
        <v>1999</v>
      </c>
      <c r="H126" s="173"/>
    </row>
    <row r="127" spans="1:8" x14ac:dyDescent="0.2">
      <c r="A127" s="173">
        <v>126</v>
      </c>
      <c r="B127" s="173" t="s">
        <v>3528</v>
      </c>
      <c r="C127" s="173"/>
      <c r="D127" s="173"/>
      <c r="E127" s="173">
        <v>3</v>
      </c>
      <c r="F127" s="173"/>
      <c r="G127" s="173">
        <v>1994</v>
      </c>
      <c r="H127" s="173"/>
    </row>
    <row r="128" spans="1:8" x14ac:dyDescent="0.2">
      <c r="A128" s="173">
        <v>127</v>
      </c>
      <c r="B128" s="173" t="s">
        <v>3457</v>
      </c>
      <c r="C128" s="173"/>
      <c r="D128" s="173"/>
      <c r="E128" s="173">
        <v>3</v>
      </c>
      <c r="F128" s="173"/>
      <c r="G128" s="173">
        <v>1328</v>
      </c>
      <c r="H128" s="173"/>
    </row>
    <row r="129" spans="1:8" x14ac:dyDescent="0.2">
      <c r="A129" s="173">
        <v>128</v>
      </c>
      <c r="B129" s="173" t="s">
        <v>3624</v>
      </c>
      <c r="C129" s="173"/>
      <c r="D129" s="173"/>
      <c r="E129" s="173">
        <v>3</v>
      </c>
      <c r="F129" s="173"/>
      <c r="G129" s="173">
        <v>1094</v>
      </c>
      <c r="H129" s="173"/>
    </row>
    <row r="130" spans="1:8" x14ac:dyDescent="0.2">
      <c r="A130" s="173">
        <v>129</v>
      </c>
      <c r="B130" s="173" t="s">
        <v>3829</v>
      </c>
      <c r="C130" s="175"/>
      <c r="D130" s="175"/>
      <c r="E130" s="173">
        <v>3</v>
      </c>
      <c r="F130" s="173"/>
      <c r="G130" s="173">
        <v>3010</v>
      </c>
      <c r="H130" s="173"/>
    </row>
    <row r="131" spans="1:8" x14ac:dyDescent="0.2">
      <c r="A131" s="173">
        <v>130</v>
      </c>
      <c r="B131" s="173" t="s">
        <v>1544</v>
      </c>
      <c r="C131" s="173"/>
      <c r="D131" s="173"/>
      <c r="E131" s="173">
        <v>3</v>
      </c>
      <c r="F131" s="173">
        <v>470.5</v>
      </c>
      <c r="G131" s="173">
        <f>F131*2</f>
        <v>941</v>
      </c>
      <c r="H131" s="173"/>
    </row>
    <row r="132" spans="1:8" x14ac:dyDescent="0.2">
      <c r="A132" s="173">
        <v>131</v>
      </c>
      <c r="B132" s="173" t="s">
        <v>3520</v>
      </c>
      <c r="C132" s="175">
        <v>0.28000000000000003</v>
      </c>
      <c r="D132" s="175"/>
      <c r="E132" s="173">
        <v>3</v>
      </c>
      <c r="F132" s="173"/>
      <c r="G132" s="173">
        <v>1850</v>
      </c>
      <c r="H132" s="173"/>
    </row>
    <row r="133" spans="1:8" x14ac:dyDescent="0.2">
      <c r="A133" s="173">
        <v>132</v>
      </c>
      <c r="B133" s="173" t="s">
        <v>4333</v>
      </c>
      <c r="C133" s="173"/>
      <c r="D133" s="173"/>
      <c r="E133" s="173">
        <v>3</v>
      </c>
      <c r="F133" s="173"/>
      <c r="G133" s="173">
        <v>966</v>
      </c>
      <c r="H133" s="173"/>
    </row>
    <row r="134" spans="1:8" x14ac:dyDescent="0.2">
      <c r="A134" s="173">
        <v>133</v>
      </c>
      <c r="B134" s="173" t="s">
        <v>3452</v>
      </c>
      <c r="C134" s="173"/>
      <c r="D134" s="173"/>
      <c r="E134" s="173">
        <v>3</v>
      </c>
      <c r="F134" s="173"/>
      <c r="G134" s="173">
        <v>2059</v>
      </c>
      <c r="H134" s="173"/>
    </row>
    <row r="135" spans="1:8" x14ac:dyDescent="0.2">
      <c r="A135" s="173">
        <v>134</v>
      </c>
      <c r="B135" s="173" t="s">
        <v>3715</v>
      </c>
      <c r="C135" s="173"/>
      <c r="D135" s="173"/>
      <c r="E135" s="173">
        <v>3</v>
      </c>
      <c r="F135" s="173"/>
      <c r="G135" s="173">
        <v>1337</v>
      </c>
      <c r="H135" s="173"/>
    </row>
    <row r="136" spans="1:8" x14ac:dyDescent="0.2">
      <c r="A136" s="173">
        <v>135</v>
      </c>
      <c r="B136" s="173" t="s">
        <v>3521</v>
      </c>
      <c r="C136" s="173"/>
      <c r="D136" s="173"/>
      <c r="E136" s="173">
        <v>3</v>
      </c>
      <c r="F136" s="173"/>
      <c r="G136" s="173">
        <v>1337</v>
      </c>
      <c r="H136" s="173"/>
    </row>
    <row r="137" spans="1:8" x14ac:dyDescent="0.2">
      <c r="A137" s="173">
        <v>136</v>
      </c>
      <c r="B137" s="173" t="s">
        <v>1799</v>
      </c>
      <c r="C137" s="173"/>
      <c r="D137" s="173"/>
      <c r="E137" s="173">
        <v>3</v>
      </c>
      <c r="F137" s="173"/>
      <c r="G137" s="173">
        <v>860</v>
      </c>
      <c r="H137" s="173" t="s">
        <v>669</v>
      </c>
    </row>
    <row r="138" spans="1:8" x14ac:dyDescent="0.2">
      <c r="A138" s="173">
        <v>137</v>
      </c>
      <c r="B138" s="173" t="s">
        <v>3598</v>
      </c>
      <c r="C138" s="173"/>
      <c r="D138" s="173"/>
      <c r="E138" s="173">
        <v>5</v>
      </c>
      <c r="F138" s="173"/>
      <c r="G138" s="173">
        <v>1948</v>
      </c>
      <c r="H138" s="173"/>
    </row>
    <row r="139" spans="1:8" x14ac:dyDescent="0.2">
      <c r="A139" s="173">
        <v>138</v>
      </c>
      <c r="B139" s="173" t="s">
        <v>3069</v>
      </c>
      <c r="C139" s="173"/>
      <c r="D139" s="173"/>
      <c r="E139" s="173">
        <v>3</v>
      </c>
      <c r="F139" s="173"/>
      <c r="G139" s="173">
        <v>1850</v>
      </c>
      <c r="H139" s="173"/>
    </row>
    <row r="140" spans="1:8" x14ac:dyDescent="0.2">
      <c r="A140" s="173">
        <v>139</v>
      </c>
      <c r="B140" s="173" t="s">
        <v>3303</v>
      </c>
      <c r="C140" s="173" t="s">
        <v>3361</v>
      </c>
      <c r="D140" s="173"/>
      <c r="E140" s="173">
        <v>3</v>
      </c>
      <c r="F140" s="173"/>
      <c r="G140" s="173">
        <v>4370</v>
      </c>
      <c r="H140" s="173"/>
    </row>
    <row r="141" spans="1:8" x14ac:dyDescent="0.2">
      <c r="A141" s="173">
        <v>140</v>
      </c>
      <c r="B141" s="173" t="s">
        <v>1473</v>
      </c>
      <c r="C141" s="173" t="s">
        <v>2170</v>
      </c>
      <c r="D141" s="173"/>
      <c r="E141" s="173">
        <v>3</v>
      </c>
      <c r="F141" s="173">
        <v>511</v>
      </c>
      <c r="G141" s="173">
        <v>1122</v>
      </c>
      <c r="H141" s="173"/>
    </row>
    <row r="142" spans="1:8" x14ac:dyDescent="0.2">
      <c r="A142" s="173">
        <v>141</v>
      </c>
      <c r="B142" s="173" t="s">
        <v>3076</v>
      </c>
      <c r="C142" s="173"/>
      <c r="D142" s="173"/>
      <c r="E142" s="173">
        <v>3</v>
      </c>
      <c r="F142" s="173"/>
      <c r="G142" s="173">
        <v>1670</v>
      </c>
      <c r="H142" s="173"/>
    </row>
    <row r="143" spans="1:8" x14ac:dyDescent="0.2">
      <c r="A143" s="173">
        <v>142</v>
      </c>
      <c r="B143" s="173">
        <v>66104</v>
      </c>
      <c r="C143" s="173" t="s">
        <v>3387</v>
      </c>
      <c r="D143" s="173"/>
      <c r="E143" s="173">
        <v>4</v>
      </c>
      <c r="F143" s="173"/>
      <c r="G143" s="173">
        <v>1287</v>
      </c>
      <c r="H143" s="173"/>
    </row>
    <row r="144" spans="1:8" x14ac:dyDescent="0.2">
      <c r="A144" s="173">
        <v>143</v>
      </c>
      <c r="B144" s="173" t="s">
        <v>3987</v>
      </c>
      <c r="C144" s="173"/>
      <c r="D144" s="173"/>
      <c r="E144" s="173">
        <v>4</v>
      </c>
      <c r="F144" s="173"/>
      <c r="G144" s="173">
        <v>1506</v>
      </c>
      <c r="H144" s="173"/>
    </row>
    <row r="145" spans="1:8" x14ac:dyDescent="0.2">
      <c r="A145" s="173">
        <v>144</v>
      </c>
      <c r="B145" s="173" t="s">
        <v>3458</v>
      </c>
      <c r="C145" s="173"/>
      <c r="D145" s="173"/>
      <c r="E145" s="173">
        <v>2</v>
      </c>
      <c r="F145" s="173"/>
      <c r="G145" s="173">
        <v>1487</v>
      </c>
      <c r="H145" s="173"/>
    </row>
    <row r="146" spans="1:8" x14ac:dyDescent="0.2">
      <c r="A146" s="173">
        <v>145</v>
      </c>
      <c r="B146" s="173" t="s">
        <v>4203</v>
      </c>
      <c r="C146" s="173"/>
      <c r="D146" s="173"/>
      <c r="E146" s="173">
        <v>4</v>
      </c>
      <c r="F146" s="173"/>
      <c r="G146" s="173">
        <v>1950</v>
      </c>
      <c r="H146" s="173"/>
    </row>
    <row r="147" spans="1:8" x14ac:dyDescent="0.2">
      <c r="A147" s="173">
        <v>146</v>
      </c>
      <c r="B147" s="173" t="s">
        <v>3921</v>
      </c>
      <c r="C147" s="173"/>
      <c r="D147" s="173"/>
      <c r="E147" s="173">
        <v>4</v>
      </c>
      <c r="F147" s="173"/>
      <c r="G147" s="173">
        <v>4496</v>
      </c>
      <c r="H147" s="173"/>
    </row>
    <row r="148" spans="1:8" x14ac:dyDescent="0.2">
      <c r="A148" s="173">
        <v>147</v>
      </c>
      <c r="B148" s="173" t="s">
        <v>3459</v>
      </c>
      <c r="C148" s="173"/>
      <c r="D148" s="173"/>
      <c r="E148" s="173">
        <v>4</v>
      </c>
      <c r="F148" s="173"/>
      <c r="G148" s="173">
        <v>2168</v>
      </c>
      <c r="H148" s="173"/>
    </row>
    <row r="149" spans="1:8" x14ac:dyDescent="0.2">
      <c r="A149" s="173">
        <v>148</v>
      </c>
      <c r="B149" s="173" t="s">
        <v>3539</v>
      </c>
      <c r="C149" s="173"/>
      <c r="D149" s="173"/>
      <c r="E149" s="173">
        <v>4</v>
      </c>
      <c r="F149" s="173"/>
      <c r="G149" s="173">
        <v>2319</v>
      </c>
      <c r="H149" s="173"/>
    </row>
    <row r="150" spans="1:8" x14ac:dyDescent="0.2">
      <c r="A150" s="173">
        <v>149</v>
      </c>
      <c r="B150" s="173" t="s">
        <v>3451</v>
      </c>
      <c r="C150" s="173"/>
      <c r="D150" s="173"/>
      <c r="E150" s="173">
        <v>4</v>
      </c>
      <c r="F150" s="173"/>
      <c r="G150" s="173">
        <v>3568</v>
      </c>
      <c r="H150" s="173"/>
    </row>
    <row r="151" spans="1:8" x14ac:dyDescent="0.2">
      <c r="A151" s="173">
        <v>150</v>
      </c>
      <c r="B151" s="173" t="s">
        <v>3769</v>
      </c>
      <c r="C151" s="173"/>
      <c r="D151" s="173"/>
      <c r="E151" s="173">
        <v>4</v>
      </c>
      <c r="F151" s="173"/>
      <c r="G151" s="173">
        <v>1820</v>
      </c>
      <c r="H151" s="173"/>
    </row>
    <row r="152" spans="1:8" x14ac:dyDescent="0.2">
      <c r="A152" s="173">
        <v>151</v>
      </c>
      <c r="B152" s="173" t="s">
        <v>3345</v>
      </c>
      <c r="C152" s="173"/>
      <c r="D152" s="173"/>
      <c r="E152" s="173">
        <v>4</v>
      </c>
      <c r="F152" s="173"/>
      <c r="G152" s="173">
        <v>689</v>
      </c>
      <c r="H152" s="173"/>
    </row>
    <row r="153" spans="1:8" x14ac:dyDescent="0.2">
      <c r="A153" s="173">
        <v>152</v>
      </c>
      <c r="B153" s="173" t="s">
        <v>1510</v>
      </c>
      <c r="C153" s="173"/>
      <c r="D153" s="173"/>
      <c r="E153" s="173">
        <v>4</v>
      </c>
      <c r="F153" s="173"/>
      <c r="G153" s="173">
        <v>1284</v>
      </c>
      <c r="H153" s="173"/>
    </row>
    <row r="154" spans="1:8" x14ac:dyDescent="0.2">
      <c r="A154" s="173">
        <v>153</v>
      </c>
      <c r="B154" s="173" t="s">
        <v>1533</v>
      </c>
      <c r="C154" s="173"/>
      <c r="D154" s="173"/>
      <c r="E154" s="173">
        <v>4</v>
      </c>
      <c r="F154" s="173">
        <v>403</v>
      </c>
      <c r="G154" s="173">
        <f>F154*2</f>
        <v>806</v>
      </c>
      <c r="H154" s="173"/>
    </row>
    <row r="155" spans="1:8" x14ac:dyDescent="0.2">
      <c r="A155" s="173">
        <v>154</v>
      </c>
      <c r="B155" s="173" t="s">
        <v>1537</v>
      </c>
      <c r="C155" s="173"/>
      <c r="D155" s="173"/>
      <c r="E155" s="173">
        <v>4</v>
      </c>
      <c r="F155" s="173">
        <v>448</v>
      </c>
      <c r="G155" s="173">
        <f>F155*2</f>
        <v>896</v>
      </c>
      <c r="H155" s="173"/>
    </row>
    <row r="156" spans="1:8" x14ac:dyDescent="0.2">
      <c r="A156" s="173">
        <v>155</v>
      </c>
      <c r="B156" s="173" t="s">
        <v>2342</v>
      </c>
      <c r="C156" s="173"/>
      <c r="D156" s="173"/>
      <c r="E156" s="173">
        <v>4</v>
      </c>
      <c r="F156" s="173"/>
      <c r="G156" s="173" t="s">
        <v>2769</v>
      </c>
      <c r="H156" s="173"/>
    </row>
    <row r="157" spans="1:8" x14ac:dyDescent="0.2">
      <c r="A157" s="173">
        <v>156</v>
      </c>
      <c r="B157" s="173" t="s">
        <v>3311</v>
      </c>
      <c r="C157" s="173" t="s">
        <v>3312</v>
      </c>
      <c r="D157" s="173"/>
      <c r="E157" s="173">
        <v>4</v>
      </c>
      <c r="F157" s="173"/>
      <c r="G157" s="173">
        <v>3092</v>
      </c>
      <c r="H157" s="173"/>
    </row>
    <row r="158" spans="1:8" x14ac:dyDescent="0.2">
      <c r="A158" s="173">
        <v>157</v>
      </c>
      <c r="B158" s="173" t="s">
        <v>3384</v>
      </c>
      <c r="C158" s="173" t="s">
        <v>3385</v>
      </c>
      <c r="D158" s="173"/>
      <c r="E158" s="173">
        <v>4</v>
      </c>
      <c r="F158" s="173"/>
      <c r="G158" s="173">
        <v>1733</v>
      </c>
      <c r="H158" s="173"/>
    </row>
    <row r="159" spans="1:8" x14ac:dyDescent="0.2">
      <c r="A159" s="173">
        <v>158</v>
      </c>
      <c r="B159" s="173" t="s">
        <v>3453</v>
      </c>
      <c r="C159" s="173"/>
      <c r="D159" s="173"/>
      <c r="E159" s="173">
        <v>4</v>
      </c>
      <c r="F159" s="173"/>
      <c r="G159" s="173">
        <v>1202</v>
      </c>
      <c r="H159" s="173"/>
    </row>
    <row r="160" spans="1:8" x14ac:dyDescent="0.2">
      <c r="A160" s="173">
        <v>159</v>
      </c>
      <c r="B160" s="173" t="s">
        <v>3523</v>
      </c>
      <c r="C160" s="173"/>
      <c r="D160" s="173"/>
      <c r="E160" s="173">
        <v>4</v>
      </c>
      <c r="F160" s="173"/>
      <c r="G160" s="173">
        <v>2129</v>
      </c>
      <c r="H160" s="173"/>
    </row>
    <row r="161" spans="1:8" x14ac:dyDescent="0.2">
      <c r="A161" s="173">
        <v>160</v>
      </c>
      <c r="B161" s="173" t="s">
        <v>3532</v>
      </c>
      <c r="C161" s="173"/>
      <c r="D161" s="173"/>
      <c r="E161" s="173">
        <v>4</v>
      </c>
      <c r="F161" s="173"/>
      <c r="G161" s="173">
        <v>2813</v>
      </c>
      <c r="H161" s="173"/>
    </row>
    <row r="162" spans="1:8" x14ac:dyDescent="0.2">
      <c r="A162" s="173">
        <v>161</v>
      </c>
      <c r="B162" s="173" t="s">
        <v>3563</v>
      </c>
      <c r="C162" s="173"/>
      <c r="D162" s="173"/>
      <c r="E162" s="173">
        <v>4</v>
      </c>
      <c r="F162" s="173"/>
      <c r="G162" s="173">
        <v>1760</v>
      </c>
      <c r="H162" s="173"/>
    </row>
    <row r="163" spans="1:8" x14ac:dyDescent="0.2">
      <c r="A163" s="173">
        <v>162</v>
      </c>
      <c r="B163" s="173" t="s">
        <v>3585</v>
      </c>
      <c r="C163" s="173"/>
      <c r="D163" s="173"/>
      <c r="E163" s="173">
        <v>4</v>
      </c>
      <c r="F163" s="173"/>
      <c r="G163" s="173">
        <v>1760</v>
      </c>
      <c r="H163" s="173"/>
    </row>
    <row r="164" spans="1:8" x14ac:dyDescent="0.2">
      <c r="A164" s="173">
        <v>163</v>
      </c>
      <c r="B164" s="173" t="s">
        <v>3613</v>
      </c>
      <c r="C164" s="173"/>
      <c r="D164" s="173"/>
      <c r="E164" s="173">
        <v>4</v>
      </c>
      <c r="F164" s="173"/>
      <c r="G164" s="173">
        <v>1769</v>
      </c>
      <c r="H164" s="173"/>
    </row>
    <row r="165" spans="1:8" x14ac:dyDescent="0.2">
      <c r="A165" s="173">
        <v>164</v>
      </c>
      <c r="B165" s="173" t="s">
        <v>3688</v>
      </c>
      <c r="C165" s="173"/>
      <c r="D165" s="173"/>
      <c r="E165" s="173">
        <v>4</v>
      </c>
      <c r="F165" s="173"/>
      <c r="G165" s="173">
        <v>2175</v>
      </c>
      <c r="H165" s="173"/>
    </row>
    <row r="166" spans="1:8" x14ac:dyDescent="0.2">
      <c r="A166" s="173">
        <v>165</v>
      </c>
      <c r="B166" s="173" t="s">
        <v>3750</v>
      </c>
      <c r="C166" s="173"/>
      <c r="D166" s="173"/>
      <c r="E166" s="173">
        <v>4</v>
      </c>
      <c r="F166" s="173"/>
      <c r="G166" s="173">
        <v>1292</v>
      </c>
      <c r="H166" s="173"/>
    </row>
    <row r="167" spans="1:8" x14ac:dyDescent="0.2">
      <c r="A167" s="173">
        <v>166</v>
      </c>
      <c r="B167" s="173" t="s">
        <v>3752</v>
      </c>
      <c r="C167" s="173"/>
      <c r="D167" s="173"/>
      <c r="E167" s="173">
        <v>4</v>
      </c>
      <c r="F167" s="173"/>
      <c r="G167" s="173">
        <v>849</v>
      </c>
      <c r="H167" s="173"/>
    </row>
    <row r="168" spans="1:8" x14ac:dyDescent="0.2">
      <c r="A168" s="173">
        <v>167</v>
      </c>
      <c r="B168" s="173" t="s">
        <v>3067</v>
      </c>
      <c r="C168" s="175">
        <v>0.28000000000000003</v>
      </c>
      <c r="D168" s="175"/>
      <c r="E168" s="173">
        <v>4</v>
      </c>
      <c r="F168" s="173"/>
      <c r="G168" s="173">
        <v>612</v>
      </c>
      <c r="H168" s="173"/>
    </row>
    <row r="169" spans="1:8" x14ac:dyDescent="0.2">
      <c r="A169" s="173">
        <v>168</v>
      </c>
      <c r="B169" s="173" t="s">
        <v>3136</v>
      </c>
      <c r="C169" s="173"/>
      <c r="D169" s="173"/>
      <c r="E169" s="173">
        <v>4</v>
      </c>
      <c r="F169" s="173"/>
      <c r="G169" s="173">
        <v>640</v>
      </c>
      <c r="H169" s="173"/>
    </row>
    <row r="170" spans="1:8" x14ac:dyDescent="0.2">
      <c r="A170" s="173">
        <v>169</v>
      </c>
      <c r="B170" s="173" t="s">
        <v>4189</v>
      </c>
      <c r="C170" s="173"/>
      <c r="D170" s="173"/>
      <c r="E170" s="173">
        <v>4</v>
      </c>
      <c r="F170" s="173"/>
      <c r="G170" s="173">
        <v>1625</v>
      </c>
      <c r="H170" s="173"/>
    </row>
    <row r="171" spans="1:8" x14ac:dyDescent="0.2">
      <c r="A171" s="173">
        <v>170</v>
      </c>
      <c r="B171" s="173" t="s">
        <v>4200</v>
      </c>
      <c r="C171" s="173"/>
      <c r="D171" s="173"/>
      <c r="E171" s="173">
        <v>3</v>
      </c>
      <c r="F171" s="173"/>
      <c r="G171" s="173">
        <v>424</v>
      </c>
      <c r="H171" s="173"/>
    </row>
    <row r="172" spans="1:8" x14ac:dyDescent="0.2">
      <c r="A172" s="173">
        <v>171</v>
      </c>
      <c r="B172" s="173" t="s">
        <v>4280</v>
      </c>
      <c r="C172" s="173"/>
      <c r="D172" s="173"/>
      <c r="E172" s="173">
        <v>4</v>
      </c>
      <c r="F172" s="173"/>
      <c r="G172" s="173">
        <v>1490</v>
      </c>
      <c r="H172" s="173"/>
    </row>
    <row r="173" spans="1:8" x14ac:dyDescent="0.2">
      <c r="A173" s="173">
        <v>172</v>
      </c>
      <c r="B173" s="173" t="s">
        <v>3530</v>
      </c>
      <c r="C173" s="173"/>
      <c r="D173" s="173"/>
      <c r="E173" s="173">
        <v>4</v>
      </c>
      <c r="F173" s="173"/>
      <c r="G173" s="173">
        <v>482</v>
      </c>
      <c r="H173" s="173"/>
    </row>
    <row r="174" spans="1:8" x14ac:dyDescent="0.2">
      <c r="A174" s="173">
        <v>173</v>
      </c>
      <c r="B174" s="173" t="s">
        <v>4325</v>
      </c>
      <c r="C174" s="173"/>
      <c r="D174" s="173"/>
      <c r="E174" s="173">
        <v>4</v>
      </c>
      <c r="F174" s="173"/>
      <c r="G174" s="173">
        <v>843</v>
      </c>
      <c r="H174" s="173"/>
    </row>
    <row r="175" spans="1:8" x14ac:dyDescent="0.2">
      <c r="A175" s="173">
        <v>174</v>
      </c>
      <c r="B175" s="173" t="s">
        <v>4329</v>
      </c>
      <c r="C175" s="173"/>
      <c r="D175" s="173"/>
      <c r="E175" s="173">
        <v>4</v>
      </c>
      <c r="F175" s="173"/>
      <c r="G175" s="173">
        <v>894</v>
      </c>
      <c r="H175" s="173"/>
    </row>
    <row r="176" spans="1:8" x14ac:dyDescent="0.2">
      <c r="A176" s="173">
        <v>175</v>
      </c>
      <c r="B176" s="173" t="s">
        <v>3514</v>
      </c>
      <c r="C176" s="173"/>
      <c r="D176" s="173"/>
      <c r="E176" s="173">
        <v>4</v>
      </c>
      <c r="F176" s="173"/>
      <c r="G176" s="173">
        <v>1896</v>
      </c>
      <c r="H176" s="173"/>
    </row>
    <row r="177" spans="1:8" x14ac:dyDescent="0.2">
      <c r="A177" s="173">
        <v>176</v>
      </c>
      <c r="B177" s="173" t="s">
        <v>1803</v>
      </c>
      <c r="C177" s="173"/>
      <c r="D177" s="173"/>
      <c r="E177" s="173">
        <v>4</v>
      </c>
      <c r="F177" s="173"/>
      <c r="G177" s="173">
        <v>1355</v>
      </c>
      <c r="H177" s="173"/>
    </row>
    <row r="178" spans="1:8" x14ac:dyDescent="0.2">
      <c r="A178" s="173">
        <v>177</v>
      </c>
      <c r="B178" s="173" t="s">
        <v>3633</v>
      </c>
      <c r="C178" s="173"/>
      <c r="D178" s="173"/>
      <c r="E178" s="173">
        <v>4</v>
      </c>
      <c r="F178" s="173"/>
      <c r="G178" s="173">
        <v>1220</v>
      </c>
      <c r="H178" s="173"/>
    </row>
    <row r="179" spans="1:8" x14ac:dyDescent="0.2">
      <c r="A179" s="173">
        <v>178</v>
      </c>
      <c r="B179" s="173" t="s">
        <v>1447</v>
      </c>
      <c r="C179" s="173" t="s">
        <v>2145</v>
      </c>
      <c r="D179" s="173"/>
      <c r="E179" s="173">
        <v>4</v>
      </c>
      <c r="F179" s="173">
        <v>422.5</v>
      </c>
      <c r="G179" s="173">
        <f>F179*2</f>
        <v>845</v>
      </c>
      <c r="H179" s="173"/>
    </row>
    <row r="180" spans="1:8" x14ac:dyDescent="0.2">
      <c r="A180" s="173">
        <v>179</v>
      </c>
      <c r="B180" s="173" t="s">
        <v>3768</v>
      </c>
      <c r="C180" s="173"/>
      <c r="D180" s="173"/>
      <c r="E180" s="173">
        <v>4</v>
      </c>
      <c r="F180" s="173"/>
      <c r="G180" s="173">
        <v>1229</v>
      </c>
      <c r="H180" s="173"/>
    </row>
    <row r="181" spans="1:8" x14ac:dyDescent="0.2">
      <c r="A181" s="173">
        <v>180</v>
      </c>
      <c r="B181" s="173" t="s">
        <v>3625</v>
      </c>
      <c r="C181" s="173"/>
      <c r="D181" s="173"/>
      <c r="E181" s="173">
        <v>4</v>
      </c>
      <c r="F181" s="173"/>
      <c r="G181" s="173">
        <v>1121</v>
      </c>
      <c r="H181" s="173"/>
    </row>
    <row r="182" spans="1:8" x14ac:dyDescent="0.2">
      <c r="A182" s="173">
        <v>181</v>
      </c>
      <c r="B182" s="173" t="s">
        <v>1802</v>
      </c>
      <c r="C182" s="173"/>
      <c r="D182" s="173"/>
      <c r="E182" s="173">
        <v>4</v>
      </c>
      <c r="F182" s="173"/>
      <c r="G182" s="173">
        <v>1997</v>
      </c>
      <c r="H182" s="173"/>
    </row>
    <row r="183" spans="1:8" x14ac:dyDescent="0.2">
      <c r="A183" s="173">
        <v>182</v>
      </c>
      <c r="B183" s="173" t="s">
        <v>3275</v>
      </c>
      <c r="C183" s="173"/>
      <c r="D183" s="173"/>
      <c r="E183" s="173">
        <v>4</v>
      </c>
      <c r="F183" s="173"/>
      <c r="G183" s="173">
        <v>1346</v>
      </c>
      <c r="H183" s="173"/>
    </row>
    <row r="184" spans="1:8" x14ac:dyDescent="0.2">
      <c r="A184" s="173">
        <v>183</v>
      </c>
      <c r="B184" s="173" t="s">
        <v>1800</v>
      </c>
      <c r="C184" s="173"/>
      <c r="D184" s="173"/>
      <c r="E184" s="173">
        <v>4</v>
      </c>
      <c r="F184" s="173"/>
      <c r="G184" s="173">
        <v>891</v>
      </c>
      <c r="H184" s="173"/>
    </row>
    <row r="185" spans="1:8" x14ac:dyDescent="0.2">
      <c r="A185" s="173">
        <v>184</v>
      </c>
      <c r="B185" s="173" t="s">
        <v>1621</v>
      </c>
      <c r="C185" s="173"/>
      <c r="D185" s="173"/>
      <c r="E185" s="173">
        <v>4</v>
      </c>
      <c r="F185" s="173"/>
      <c r="G185" s="173" t="s">
        <v>2777</v>
      </c>
      <c r="H185" s="173"/>
    </row>
    <row r="186" spans="1:8" x14ac:dyDescent="0.2">
      <c r="A186" s="173">
        <v>185</v>
      </c>
      <c r="B186" s="173" t="s">
        <v>3693</v>
      </c>
      <c r="C186" s="173"/>
      <c r="D186" s="173"/>
      <c r="E186" s="173">
        <v>4</v>
      </c>
      <c r="F186" s="173"/>
      <c r="G186" s="173">
        <v>1254</v>
      </c>
      <c r="H186" s="173"/>
    </row>
    <row r="187" spans="1:8" x14ac:dyDescent="0.2">
      <c r="A187" s="173">
        <v>186</v>
      </c>
      <c r="B187" s="173" t="s">
        <v>3630</v>
      </c>
      <c r="C187" s="173"/>
      <c r="D187" s="173"/>
      <c r="E187" s="173">
        <v>4</v>
      </c>
      <c r="F187" s="173"/>
      <c r="G187" s="173">
        <v>441</v>
      </c>
      <c r="H187" s="173"/>
    </row>
    <row r="188" spans="1:8" x14ac:dyDescent="0.2">
      <c r="A188" s="173">
        <v>187</v>
      </c>
      <c r="B188" s="173" t="s">
        <v>4335</v>
      </c>
      <c r="C188" s="173"/>
      <c r="D188" s="173"/>
      <c r="E188" s="173">
        <v>3</v>
      </c>
      <c r="F188" s="173"/>
      <c r="G188" s="173">
        <v>1193</v>
      </c>
      <c r="H188" s="173"/>
    </row>
    <row r="189" spans="1:8" x14ac:dyDescent="0.2">
      <c r="A189" s="173">
        <v>188</v>
      </c>
      <c r="B189" s="173" t="s">
        <v>4339</v>
      </c>
      <c r="C189" s="173"/>
      <c r="D189" s="173"/>
      <c r="E189" s="173">
        <v>4</v>
      </c>
      <c r="F189" s="173"/>
      <c r="G189" s="173">
        <v>311</v>
      </c>
      <c r="H189" s="173"/>
    </row>
    <row r="190" spans="1:8" x14ac:dyDescent="0.2">
      <c r="A190" s="173">
        <v>189</v>
      </c>
      <c r="B190" s="173" t="s">
        <v>3812</v>
      </c>
      <c r="C190" s="173"/>
      <c r="D190" s="173"/>
      <c r="E190" s="173">
        <v>4</v>
      </c>
      <c r="F190" s="173"/>
      <c r="G190" s="173">
        <v>1346</v>
      </c>
      <c r="H190" s="173"/>
    </row>
    <row r="191" spans="1:8" x14ac:dyDescent="0.2">
      <c r="A191" s="173">
        <v>190</v>
      </c>
      <c r="B191" s="173" t="s">
        <v>3456</v>
      </c>
      <c r="C191" s="173"/>
      <c r="D191" s="173"/>
      <c r="E191" s="173">
        <v>3</v>
      </c>
      <c r="F191" s="173"/>
      <c r="G191" s="173">
        <v>1319</v>
      </c>
      <c r="H191" s="173"/>
    </row>
    <row r="192" spans="1:8" x14ac:dyDescent="0.2">
      <c r="A192" s="173">
        <v>191</v>
      </c>
      <c r="B192" s="173" t="s">
        <v>3525</v>
      </c>
      <c r="C192" s="173"/>
      <c r="D192" s="173"/>
      <c r="E192" s="173">
        <v>4</v>
      </c>
      <c r="F192" s="173"/>
      <c r="G192" s="173">
        <v>806</v>
      </c>
      <c r="H192" s="173"/>
    </row>
    <row r="193" spans="1:8" x14ac:dyDescent="0.2">
      <c r="A193" s="173">
        <v>192</v>
      </c>
      <c r="B193" s="173" t="s">
        <v>4503</v>
      </c>
      <c r="C193" s="173"/>
      <c r="D193" s="173"/>
      <c r="E193" s="173">
        <v>4</v>
      </c>
      <c r="F193" s="173"/>
      <c r="G193" s="173"/>
      <c r="H193" s="173"/>
    </row>
    <row r="194" spans="1:8" x14ac:dyDescent="0.2">
      <c r="A194" s="173">
        <v>193</v>
      </c>
      <c r="B194" s="173" t="s">
        <v>4356</v>
      </c>
      <c r="C194" s="173"/>
      <c r="D194" s="173"/>
      <c r="E194" s="173">
        <v>4</v>
      </c>
      <c r="F194" s="173"/>
      <c r="G194" s="173">
        <v>698</v>
      </c>
      <c r="H194" s="173"/>
    </row>
    <row r="195" spans="1:8" x14ac:dyDescent="0.2">
      <c r="A195" s="173">
        <v>194</v>
      </c>
      <c r="B195" s="173" t="s">
        <v>3818</v>
      </c>
      <c r="C195" s="175"/>
      <c r="D195" s="175"/>
      <c r="E195" s="173">
        <v>5</v>
      </c>
      <c r="F195" s="173"/>
      <c r="G195" s="173">
        <v>1697</v>
      </c>
      <c r="H195" s="173"/>
    </row>
    <row r="196" spans="1:8" x14ac:dyDescent="0.2">
      <c r="A196" s="173">
        <v>195</v>
      </c>
      <c r="B196" s="173" t="s">
        <v>4315</v>
      </c>
      <c r="C196" s="173"/>
      <c r="D196" s="173"/>
      <c r="E196" s="173">
        <v>4</v>
      </c>
      <c r="F196" s="173"/>
      <c r="G196" s="173">
        <v>3510</v>
      </c>
      <c r="H196" s="173"/>
    </row>
    <row r="197" spans="1:8" x14ac:dyDescent="0.2">
      <c r="A197" s="173">
        <v>196</v>
      </c>
      <c r="B197" s="173" t="s">
        <v>3340</v>
      </c>
      <c r="C197" s="173" t="s">
        <v>4016</v>
      </c>
      <c r="D197" s="173"/>
      <c r="E197" s="173">
        <v>5</v>
      </c>
      <c r="F197" s="173"/>
      <c r="G197" s="173">
        <v>2138</v>
      </c>
      <c r="H197" s="173"/>
    </row>
    <row r="198" spans="1:8" x14ac:dyDescent="0.2">
      <c r="A198" s="173">
        <v>197</v>
      </c>
      <c r="B198" s="173" t="s">
        <v>3869</v>
      </c>
      <c r="C198" s="173"/>
      <c r="D198" s="173"/>
      <c r="E198" s="173">
        <v>5</v>
      </c>
      <c r="F198" s="173"/>
      <c r="G198" s="173">
        <v>2180</v>
      </c>
      <c r="H198" s="173"/>
    </row>
    <row r="199" spans="1:8" x14ac:dyDescent="0.2">
      <c r="A199" s="173">
        <v>198</v>
      </c>
      <c r="B199" s="173" t="s">
        <v>3634</v>
      </c>
      <c r="C199" s="173"/>
      <c r="D199" s="173"/>
      <c r="E199" s="173">
        <v>3</v>
      </c>
      <c r="F199" s="173"/>
      <c r="G199" s="173">
        <v>1235</v>
      </c>
      <c r="H199" s="173"/>
    </row>
    <row r="200" spans="1:8" x14ac:dyDescent="0.2">
      <c r="A200" s="173">
        <v>199</v>
      </c>
      <c r="B200" s="173" t="s">
        <v>4322</v>
      </c>
      <c r="C200" s="173"/>
      <c r="D200" s="173"/>
      <c r="E200" s="173">
        <v>5</v>
      </c>
      <c r="F200" s="173"/>
      <c r="G200" s="173">
        <v>1230</v>
      </c>
      <c r="H200" s="173"/>
    </row>
    <row r="201" spans="1:8" x14ac:dyDescent="0.2">
      <c r="A201" s="173">
        <v>200</v>
      </c>
      <c r="B201" s="173" t="s">
        <v>3321</v>
      </c>
      <c r="C201" s="173" t="s">
        <v>3322</v>
      </c>
      <c r="D201" s="173"/>
      <c r="E201" s="173">
        <v>5</v>
      </c>
      <c r="F201" s="173"/>
      <c r="G201" s="173">
        <v>1999</v>
      </c>
      <c r="H201" s="173"/>
    </row>
    <row r="202" spans="1:8" x14ac:dyDescent="0.2">
      <c r="A202" s="173">
        <v>201</v>
      </c>
      <c r="B202" s="173" t="s">
        <v>3755</v>
      </c>
      <c r="C202" s="173"/>
      <c r="D202" s="173"/>
      <c r="E202" s="173">
        <v>5</v>
      </c>
      <c r="F202" s="173"/>
      <c r="G202" s="173">
        <v>2270</v>
      </c>
      <c r="H202" s="173"/>
    </row>
    <row r="203" spans="1:8" x14ac:dyDescent="0.2">
      <c r="A203" s="173">
        <v>202</v>
      </c>
      <c r="B203" s="173" t="s">
        <v>3580</v>
      </c>
      <c r="C203" s="173"/>
      <c r="D203" s="173"/>
      <c r="E203" s="173">
        <v>5</v>
      </c>
      <c r="F203" s="173"/>
      <c r="G203" s="173">
        <v>2749</v>
      </c>
      <c r="H203" s="173"/>
    </row>
    <row r="204" spans="1:8" x14ac:dyDescent="0.2">
      <c r="A204" s="173">
        <v>203</v>
      </c>
      <c r="B204" s="173" t="s">
        <v>3820</v>
      </c>
      <c r="C204" s="175"/>
      <c r="D204" s="175"/>
      <c r="E204" s="173">
        <v>5</v>
      </c>
      <c r="F204" s="173"/>
      <c r="G204" s="173">
        <v>2398</v>
      </c>
      <c r="H204" s="173"/>
    </row>
    <row r="205" spans="1:8" x14ac:dyDescent="0.2">
      <c r="A205" s="173">
        <v>204</v>
      </c>
      <c r="B205" s="173" t="s">
        <v>3757</v>
      </c>
      <c r="C205" s="173"/>
      <c r="D205" s="173"/>
      <c r="E205" s="173">
        <v>5</v>
      </c>
      <c r="F205" s="173"/>
      <c r="G205" s="173">
        <v>1550</v>
      </c>
      <c r="H205" s="173"/>
    </row>
    <row r="206" spans="1:8" x14ac:dyDescent="0.2">
      <c r="A206" s="173">
        <v>205</v>
      </c>
      <c r="B206" s="173" t="s">
        <v>3722</v>
      </c>
      <c r="C206" s="173"/>
      <c r="D206" s="173"/>
      <c r="E206" s="173">
        <v>5</v>
      </c>
      <c r="F206" s="173"/>
      <c r="G206" s="173"/>
      <c r="H206" s="173"/>
    </row>
    <row r="207" spans="1:8" x14ac:dyDescent="0.2">
      <c r="A207" s="173">
        <v>206</v>
      </c>
      <c r="B207" s="173" t="s">
        <v>1446</v>
      </c>
      <c r="C207" s="173"/>
      <c r="D207" s="173"/>
      <c r="E207" s="173">
        <v>5</v>
      </c>
      <c r="F207" s="173">
        <v>254.5</v>
      </c>
      <c r="G207" s="173">
        <f>F207*2</f>
        <v>509</v>
      </c>
      <c r="H207" s="173"/>
    </row>
    <row r="208" spans="1:8" x14ac:dyDescent="0.2">
      <c r="A208" s="173">
        <v>207</v>
      </c>
      <c r="B208" s="173" t="s">
        <v>3300</v>
      </c>
      <c r="C208" s="173"/>
      <c r="D208" s="173"/>
      <c r="E208" s="173">
        <v>5</v>
      </c>
      <c r="F208" s="173"/>
      <c r="G208" s="173">
        <v>2084</v>
      </c>
      <c r="H208" s="173"/>
    </row>
    <row r="209" spans="1:8" x14ac:dyDescent="0.2">
      <c r="A209" s="173">
        <v>208</v>
      </c>
      <c r="B209" s="173" t="s">
        <v>3623</v>
      </c>
      <c r="C209" s="173"/>
      <c r="D209" s="173"/>
      <c r="E209" s="173">
        <v>5</v>
      </c>
      <c r="F209" s="173"/>
      <c r="G209" s="173">
        <v>725</v>
      </c>
      <c r="H209" s="173"/>
    </row>
    <row r="210" spans="1:8" x14ac:dyDescent="0.2">
      <c r="A210" s="173">
        <v>209</v>
      </c>
      <c r="B210" s="173" t="s">
        <v>3200</v>
      </c>
      <c r="C210" s="173"/>
      <c r="D210" s="173"/>
      <c r="E210" s="173">
        <v>0</v>
      </c>
      <c r="F210" s="173"/>
      <c r="G210" s="173">
        <v>1184</v>
      </c>
      <c r="H210" s="173"/>
    </row>
    <row r="211" spans="1:8" x14ac:dyDescent="0.2">
      <c r="A211" s="173">
        <v>210</v>
      </c>
      <c r="B211" s="173" t="s">
        <v>3335</v>
      </c>
      <c r="C211" s="173"/>
      <c r="D211" s="173"/>
      <c r="E211" s="173">
        <v>5</v>
      </c>
      <c r="F211" s="173"/>
      <c r="G211" s="173" t="s">
        <v>3767</v>
      </c>
      <c r="H211" s="173"/>
    </row>
    <row r="212" spans="1:8" x14ac:dyDescent="0.2">
      <c r="A212" s="173">
        <v>211</v>
      </c>
      <c r="B212" s="173" t="s">
        <v>3897</v>
      </c>
      <c r="C212" s="173"/>
      <c r="D212" s="173"/>
      <c r="E212" s="173">
        <v>5</v>
      </c>
      <c r="F212" s="173"/>
      <c r="G212" s="173">
        <v>365</v>
      </c>
      <c r="H212" s="173"/>
    </row>
    <row r="213" spans="1:8" x14ac:dyDescent="0.2">
      <c r="A213" s="173">
        <v>212</v>
      </c>
      <c r="B213" s="173" t="s">
        <v>3582</v>
      </c>
      <c r="C213" s="173"/>
      <c r="D213" s="173"/>
      <c r="E213" s="173">
        <v>5</v>
      </c>
      <c r="F213" s="173"/>
      <c r="G213" s="173">
        <v>1380</v>
      </c>
      <c r="H213" s="173"/>
    </row>
    <row r="214" spans="1:8" x14ac:dyDescent="0.2">
      <c r="A214" s="173">
        <v>213</v>
      </c>
      <c r="B214" s="173" t="s">
        <v>4321</v>
      </c>
      <c r="C214" s="173"/>
      <c r="D214" s="173"/>
      <c r="E214" s="173">
        <v>5</v>
      </c>
      <c r="F214" s="173"/>
      <c r="G214" s="173">
        <v>650</v>
      </c>
      <c r="H214" s="173"/>
    </row>
    <row r="215" spans="1:8" x14ac:dyDescent="0.2">
      <c r="A215" s="173">
        <v>214</v>
      </c>
      <c r="B215" s="173" t="s">
        <v>1517</v>
      </c>
      <c r="C215" s="173"/>
      <c r="D215" s="173"/>
      <c r="E215" s="173">
        <v>5</v>
      </c>
      <c r="F215" s="173"/>
      <c r="G215" s="173" t="s">
        <v>3133</v>
      </c>
      <c r="H215" s="173"/>
    </row>
    <row r="216" spans="1:8" x14ac:dyDescent="0.2">
      <c r="A216" s="173">
        <v>215</v>
      </c>
      <c r="B216" s="173" t="s">
        <v>4390</v>
      </c>
      <c r="C216" s="175"/>
      <c r="D216" s="175"/>
      <c r="E216" s="173">
        <v>5</v>
      </c>
      <c r="F216" s="173"/>
      <c r="G216" s="173">
        <v>678</v>
      </c>
      <c r="H216" s="173"/>
    </row>
    <row r="217" spans="1:8" x14ac:dyDescent="0.2">
      <c r="A217" s="173">
        <v>216</v>
      </c>
      <c r="B217" s="173" t="s">
        <v>1532</v>
      </c>
      <c r="C217" s="173"/>
      <c r="D217" s="173"/>
      <c r="E217" s="173">
        <v>5</v>
      </c>
      <c r="F217" s="173"/>
      <c r="G217" s="173">
        <v>595</v>
      </c>
      <c r="H217" s="173"/>
    </row>
    <row r="218" spans="1:8" x14ac:dyDescent="0.2">
      <c r="A218" s="173">
        <v>217</v>
      </c>
      <c r="B218" s="173" t="s">
        <v>3305</v>
      </c>
      <c r="C218" s="173"/>
      <c r="D218" s="173"/>
      <c r="E218" s="173">
        <v>5</v>
      </c>
      <c r="F218" s="173"/>
      <c r="G218" s="173">
        <v>1346</v>
      </c>
      <c r="H218" s="173"/>
    </row>
    <row r="219" spans="1:8" x14ac:dyDescent="0.2">
      <c r="A219" s="173">
        <v>218</v>
      </c>
      <c r="B219" s="173" t="s">
        <v>3599</v>
      </c>
      <c r="C219" s="173"/>
      <c r="D219" s="173"/>
      <c r="E219" s="173">
        <v>4</v>
      </c>
      <c r="F219" s="173"/>
      <c r="G219" s="173">
        <v>1510</v>
      </c>
      <c r="H219" s="173"/>
    </row>
    <row r="220" spans="1:8" x14ac:dyDescent="0.2">
      <c r="A220" s="173">
        <v>219</v>
      </c>
      <c r="B220" s="173" t="s">
        <v>1511</v>
      </c>
      <c r="C220" s="173"/>
      <c r="D220" s="173"/>
      <c r="E220" s="173">
        <v>5</v>
      </c>
      <c r="F220" s="173"/>
      <c r="G220" s="173">
        <v>1436</v>
      </c>
      <c r="H220" s="173"/>
    </row>
    <row r="221" spans="1:8" x14ac:dyDescent="0.2">
      <c r="A221" s="173">
        <v>220</v>
      </c>
      <c r="B221" s="173" t="s">
        <v>1570</v>
      </c>
      <c r="C221" s="173"/>
      <c r="D221" s="173"/>
      <c r="E221" s="173">
        <v>5</v>
      </c>
      <c r="F221" s="173">
        <v>390.5</v>
      </c>
      <c r="G221" s="173">
        <v>850</v>
      </c>
      <c r="H221" s="173"/>
    </row>
    <row r="222" spans="1:8" x14ac:dyDescent="0.2">
      <c r="A222" s="173">
        <v>221</v>
      </c>
      <c r="B222" s="173" t="s">
        <v>3516</v>
      </c>
      <c r="C222" s="173" t="s">
        <v>3517</v>
      </c>
      <c r="D222" s="173"/>
      <c r="E222" s="173">
        <v>5</v>
      </c>
      <c r="F222" s="173"/>
      <c r="G222" s="173">
        <v>2196</v>
      </c>
      <c r="H222" s="173"/>
    </row>
    <row r="223" spans="1:8" x14ac:dyDescent="0.2">
      <c r="A223" s="173">
        <v>222</v>
      </c>
      <c r="B223" s="173" t="s">
        <v>3071</v>
      </c>
      <c r="C223" s="175">
        <v>0.28000000000000003</v>
      </c>
      <c r="D223" s="175"/>
      <c r="E223" s="173">
        <v>5</v>
      </c>
      <c r="F223" s="173"/>
      <c r="G223" s="173">
        <v>2480</v>
      </c>
      <c r="H223" s="173"/>
    </row>
    <row r="224" spans="1:8" x14ac:dyDescent="0.2">
      <c r="A224" s="173">
        <v>223</v>
      </c>
      <c r="B224" s="173" t="s">
        <v>3068</v>
      </c>
      <c r="C224" s="173"/>
      <c r="D224" s="173"/>
      <c r="E224" s="173">
        <v>5</v>
      </c>
      <c r="F224" s="173"/>
      <c r="G224" s="173">
        <v>1410</v>
      </c>
      <c r="H224" s="173"/>
    </row>
    <row r="225" spans="1:8" x14ac:dyDescent="0.2">
      <c r="A225" s="173">
        <v>224</v>
      </c>
      <c r="B225" s="173" t="s">
        <v>3627</v>
      </c>
      <c r="C225" s="173"/>
      <c r="D225" s="173"/>
      <c r="E225" s="173">
        <v>5</v>
      </c>
      <c r="F225" s="173"/>
      <c r="G225" s="173">
        <v>923</v>
      </c>
      <c r="H225" s="173"/>
    </row>
    <row r="226" spans="1:8" x14ac:dyDescent="0.2">
      <c r="A226" s="173">
        <v>225</v>
      </c>
      <c r="B226" s="173" t="s">
        <v>3531</v>
      </c>
      <c r="C226" s="173"/>
      <c r="D226" s="173"/>
      <c r="E226" s="173">
        <v>4.5</v>
      </c>
      <c r="F226" s="173"/>
      <c r="G226" s="173">
        <v>4730</v>
      </c>
      <c r="H226" s="173"/>
    </row>
    <row r="227" spans="1:8" x14ac:dyDescent="0.2">
      <c r="A227" s="173">
        <v>226</v>
      </c>
      <c r="B227" s="173" t="s">
        <v>3307</v>
      </c>
      <c r="C227" s="173"/>
      <c r="D227" s="173"/>
      <c r="E227" s="173">
        <v>5</v>
      </c>
      <c r="F227" s="173"/>
      <c r="G227" s="173">
        <v>2790</v>
      </c>
      <c r="H227" s="173"/>
    </row>
    <row r="228" spans="1:8" x14ac:dyDescent="0.2">
      <c r="A228" s="173">
        <v>227</v>
      </c>
      <c r="B228" s="173" t="s">
        <v>4318</v>
      </c>
      <c r="C228" s="173"/>
      <c r="D228" s="173"/>
      <c r="E228" s="173">
        <v>6</v>
      </c>
      <c r="F228" s="173"/>
      <c r="G228" s="173">
        <v>3440</v>
      </c>
      <c r="H228" s="173"/>
    </row>
    <row r="229" spans="1:8" x14ac:dyDescent="0.2">
      <c r="A229" s="173">
        <v>228</v>
      </c>
      <c r="B229" s="173" t="s">
        <v>3628</v>
      </c>
      <c r="C229" s="173"/>
      <c r="D229" s="173"/>
      <c r="E229" s="173">
        <v>6</v>
      </c>
      <c r="F229" s="173"/>
      <c r="G229" s="173">
        <v>2698</v>
      </c>
      <c r="H229" s="173"/>
    </row>
    <row r="230" spans="1:8" x14ac:dyDescent="0.2">
      <c r="A230" s="173">
        <v>229</v>
      </c>
      <c r="B230" s="173" t="s">
        <v>3714</v>
      </c>
      <c r="C230" s="173"/>
      <c r="D230" s="173"/>
      <c r="E230" s="173">
        <v>6</v>
      </c>
      <c r="F230" s="173"/>
      <c r="G230" s="173">
        <v>626</v>
      </c>
      <c r="H230" s="173"/>
    </row>
    <row r="231" spans="1:8" x14ac:dyDescent="0.2">
      <c r="A231" s="173">
        <v>230</v>
      </c>
      <c r="B231" s="173" t="s">
        <v>3323</v>
      </c>
      <c r="C231" s="173"/>
      <c r="D231" s="173"/>
      <c r="E231" s="173">
        <v>6</v>
      </c>
      <c r="F231" s="173"/>
      <c r="G231" s="173">
        <v>2075</v>
      </c>
      <c r="H231" s="173"/>
    </row>
    <row r="232" spans="1:8" x14ac:dyDescent="0.2">
      <c r="A232" s="173">
        <v>231</v>
      </c>
      <c r="B232" s="173" t="s">
        <v>3308</v>
      </c>
      <c r="C232" s="173" t="s">
        <v>3309</v>
      </c>
      <c r="D232" s="173"/>
      <c r="E232" s="173">
        <v>6</v>
      </c>
      <c r="F232" s="173"/>
      <c r="G232" s="173">
        <v>2219</v>
      </c>
      <c r="H232" s="173"/>
    </row>
    <row r="233" spans="1:8" x14ac:dyDescent="0.2">
      <c r="A233" s="173">
        <v>232</v>
      </c>
      <c r="B233" s="173" t="s">
        <v>3694</v>
      </c>
      <c r="C233" s="173"/>
      <c r="D233" s="173"/>
      <c r="E233" s="173">
        <v>6</v>
      </c>
      <c r="F233" s="173"/>
      <c r="G233" s="173">
        <v>779</v>
      </c>
      <c r="H233" s="173"/>
    </row>
    <row r="234" spans="1:8" x14ac:dyDescent="0.2">
      <c r="A234" s="173">
        <v>233</v>
      </c>
      <c r="B234" s="173" t="s">
        <v>3747</v>
      </c>
      <c r="C234" s="173"/>
      <c r="D234" s="173"/>
      <c r="E234" s="173">
        <v>2</v>
      </c>
      <c r="F234" s="173"/>
      <c r="G234" s="173">
        <v>1193</v>
      </c>
      <c r="H234" s="173"/>
    </row>
    <row r="235" spans="1:8" x14ac:dyDescent="0.2">
      <c r="A235" s="173">
        <v>234</v>
      </c>
      <c r="B235" s="173" t="s">
        <v>4324</v>
      </c>
      <c r="C235" s="173"/>
      <c r="D235" s="173"/>
      <c r="E235" s="173">
        <v>6</v>
      </c>
      <c r="F235" s="173"/>
      <c r="G235" s="173">
        <v>930</v>
      </c>
      <c r="H235" s="173"/>
    </row>
    <row r="236" spans="1:8" x14ac:dyDescent="0.2">
      <c r="A236" s="173">
        <v>235</v>
      </c>
      <c r="B236" s="173" t="s">
        <v>3759</v>
      </c>
      <c r="C236" s="173"/>
      <c r="D236" s="173"/>
      <c r="E236" s="173">
        <v>5</v>
      </c>
      <c r="F236" s="173"/>
      <c r="G236" s="173">
        <v>1550</v>
      </c>
      <c r="H236" s="173"/>
    </row>
    <row r="237" spans="1:8" x14ac:dyDescent="0.2">
      <c r="A237" s="173">
        <v>236</v>
      </c>
      <c r="B237" s="173" t="s">
        <v>3329</v>
      </c>
      <c r="C237" s="173"/>
      <c r="D237" s="173"/>
      <c r="E237" s="173">
        <v>6</v>
      </c>
      <c r="F237" s="173"/>
      <c r="G237" s="173">
        <v>2463</v>
      </c>
      <c r="H237" s="173"/>
    </row>
    <row r="238" spans="1:8" x14ac:dyDescent="0.2">
      <c r="A238" s="173">
        <v>237</v>
      </c>
      <c r="B238" s="173" t="s">
        <v>3728</v>
      </c>
      <c r="C238" s="173"/>
      <c r="D238" s="173"/>
      <c r="E238" s="173">
        <v>6</v>
      </c>
      <c r="F238" s="173"/>
      <c r="G238" s="173">
        <v>491</v>
      </c>
      <c r="H238" s="173"/>
    </row>
    <row r="239" spans="1:8" x14ac:dyDescent="0.2">
      <c r="A239" s="173">
        <v>238</v>
      </c>
      <c r="B239" s="173" t="s">
        <v>3564</v>
      </c>
      <c r="C239" s="173"/>
      <c r="D239" s="173"/>
      <c r="E239" s="173">
        <v>6</v>
      </c>
      <c r="F239" s="173"/>
      <c r="G239" s="173">
        <v>995</v>
      </c>
      <c r="H239" s="173"/>
    </row>
    <row r="240" spans="1:8" x14ac:dyDescent="0.2">
      <c r="A240" s="173">
        <v>239</v>
      </c>
      <c r="B240" s="173" t="s">
        <v>1686</v>
      </c>
      <c r="C240" s="173"/>
      <c r="D240" s="173"/>
      <c r="E240" s="173">
        <v>6</v>
      </c>
      <c r="F240" s="173"/>
      <c r="G240" s="173" t="s">
        <v>3141</v>
      </c>
      <c r="H240" s="173"/>
    </row>
    <row r="241" spans="1:8" x14ac:dyDescent="0.2">
      <c r="A241" s="173">
        <v>240</v>
      </c>
      <c r="B241" s="173" t="s">
        <v>1795</v>
      </c>
      <c r="C241" s="173"/>
      <c r="D241" s="173"/>
      <c r="E241" s="173">
        <v>6</v>
      </c>
      <c r="F241" s="173"/>
      <c r="G241" s="173">
        <v>428</v>
      </c>
      <c r="H241" s="173"/>
    </row>
    <row r="242" spans="1:8" x14ac:dyDescent="0.2">
      <c r="A242" s="173">
        <v>241</v>
      </c>
      <c r="B242" s="173" t="s">
        <v>3018</v>
      </c>
      <c r="C242" s="173"/>
      <c r="D242" s="173"/>
      <c r="E242" s="173">
        <v>6</v>
      </c>
      <c r="F242" s="173"/>
      <c r="G242" s="173">
        <v>842</v>
      </c>
      <c r="H242" s="173"/>
    </row>
    <row r="243" spans="1:8" x14ac:dyDescent="0.2">
      <c r="A243" s="173">
        <v>242</v>
      </c>
      <c r="B243" s="173" t="s">
        <v>3132</v>
      </c>
      <c r="C243" s="173"/>
      <c r="D243" s="173"/>
      <c r="E243" s="173">
        <v>6</v>
      </c>
      <c r="F243" s="173"/>
      <c r="G243" s="173">
        <v>869</v>
      </c>
      <c r="H243" s="173"/>
    </row>
    <row r="244" spans="1:8" x14ac:dyDescent="0.2">
      <c r="A244" s="173">
        <v>243</v>
      </c>
      <c r="B244" s="173" t="s">
        <v>1450</v>
      </c>
      <c r="C244" s="173" t="s">
        <v>2163</v>
      </c>
      <c r="D244" s="173"/>
      <c r="E244" s="173">
        <v>6</v>
      </c>
      <c r="F244" s="173">
        <v>289.5</v>
      </c>
      <c r="G244" s="173" t="s">
        <v>2846</v>
      </c>
      <c r="H244" s="173"/>
    </row>
    <row r="245" spans="1:8" x14ac:dyDescent="0.2">
      <c r="A245" s="173">
        <v>244</v>
      </c>
      <c r="B245" s="173" t="s">
        <v>3535</v>
      </c>
      <c r="C245" s="173"/>
      <c r="D245" s="173"/>
      <c r="E245" s="173">
        <v>6</v>
      </c>
      <c r="F245" s="173"/>
      <c r="G245" s="173">
        <v>586</v>
      </c>
      <c r="H245" s="173"/>
    </row>
    <row r="246" spans="1:8" x14ac:dyDescent="0.2">
      <c r="A246" s="173">
        <v>245</v>
      </c>
      <c r="B246" s="173" t="s">
        <v>3814</v>
      </c>
      <c r="C246" s="173"/>
      <c r="D246" s="173"/>
      <c r="E246" s="173">
        <v>6</v>
      </c>
      <c r="F246" s="173"/>
      <c r="G246" s="173">
        <v>1598</v>
      </c>
      <c r="H246" s="173"/>
    </row>
    <row r="247" spans="1:8" x14ac:dyDescent="0.2">
      <c r="A247" s="173">
        <v>246</v>
      </c>
      <c r="B247" s="173" t="s">
        <v>3870</v>
      </c>
      <c r="C247" s="173"/>
      <c r="D247" s="173"/>
      <c r="E247" s="173">
        <v>6</v>
      </c>
      <c r="F247" s="173"/>
      <c r="G247" s="173">
        <v>860</v>
      </c>
      <c r="H247" s="173"/>
    </row>
    <row r="248" spans="1:8" x14ac:dyDescent="0.2">
      <c r="A248" s="173">
        <v>247</v>
      </c>
      <c r="B248" s="173" t="s">
        <v>4193</v>
      </c>
      <c r="C248" s="173"/>
      <c r="D248" s="173"/>
      <c r="E248" s="173">
        <v>6</v>
      </c>
      <c r="F248" s="173"/>
      <c r="G248" s="173">
        <v>797</v>
      </c>
      <c r="H248" s="173"/>
    </row>
    <row r="249" spans="1:8" x14ac:dyDescent="0.2">
      <c r="A249" s="173">
        <v>248</v>
      </c>
      <c r="B249" s="173" t="s">
        <v>4195</v>
      </c>
      <c r="C249" s="173"/>
      <c r="D249" s="173"/>
      <c r="E249" s="173">
        <v>6</v>
      </c>
      <c r="F249" s="173"/>
      <c r="G249" s="173">
        <v>995</v>
      </c>
      <c r="H249" s="173"/>
    </row>
    <row r="250" spans="1:8" x14ac:dyDescent="0.2">
      <c r="A250" s="173">
        <v>249</v>
      </c>
      <c r="B250" s="173" t="s">
        <v>4285</v>
      </c>
      <c r="C250" s="173"/>
      <c r="D250" s="173"/>
      <c r="E250" s="173">
        <v>6</v>
      </c>
      <c r="F250" s="173"/>
      <c r="G250" s="173">
        <v>720</v>
      </c>
      <c r="H250" s="173"/>
    </row>
    <row r="251" spans="1:8" x14ac:dyDescent="0.2">
      <c r="A251" s="173">
        <v>250</v>
      </c>
      <c r="B251" s="173" t="s">
        <v>4319</v>
      </c>
      <c r="C251" s="173"/>
      <c r="D251" s="173"/>
      <c r="E251" s="173">
        <v>6</v>
      </c>
      <c r="F251" s="173"/>
      <c r="G251" s="173">
        <v>920</v>
      </c>
      <c r="H251" s="173"/>
    </row>
    <row r="252" spans="1:8" x14ac:dyDescent="0.2">
      <c r="A252" s="173">
        <v>251</v>
      </c>
      <c r="B252" s="173" t="s">
        <v>4326</v>
      </c>
      <c r="C252" s="173"/>
      <c r="D252" s="173"/>
      <c r="E252" s="173">
        <v>6</v>
      </c>
      <c r="F252" s="173"/>
      <c r="G252" s="173">
        <v>810</v>
      </c>
      <c r="H252" s="173"/>
    </row>
    <row r="253" spans="1:8" x14ac:dyDescent="0.2">
      <c r="A253" s="173">
        <v>252</v>
      </c>
      <c r="B253" s="173" t="s">
        <v>4449</v>
      </c>
      <c r="C253" s="173"/>
      <c r="D253" s="173"/>
      <c r="E253" s="173">
        <v>6</v>
      </c>
      <c r="F253" s="173"/>
      <c r="G253" s="173"/>
      <c r="H253" s="173"/>
    </row>
    <row r="254" spans="1:8" x14ac:dyDescent="0.2">
      <c r="A254" s="173">
        <v>253</v>
      </c>
      <c r="B254" s="173" t="s">
        <v>3360</v>
      </c>
      <c r="C254" s="173"/>
      <c r="D254" s="173"/>
      <c r="E254" s="173">
        <v>0</v>
      </c>
      <c r="F254" s="173"/>
      <c r="G254" s="173">
        <v>1184</v>
      </c>
      <c r="H254" s="173"/>
    </row>
    <row r="255" spans="1:8" x14ac:dyDescent="0.2">
      <c r="A255" s="173">
        <v>254</v>
      </c>
      <c r="B255" s="173" t="s">
        <v>4194</v>
      </c>
      <c r="C255" s="173"/>
      <c r="D255" s="173"/>
      <c r="E255" s="173">
        <v>6</v>
      </c>
      <c r="F255" s="173"/>
      <c r="G255" s="173">
        <v>752</v>
      </c>
      <c r="H255" s="173"/>
    </row>
    <row r="256" spans="1:8" x14ac:dyDescent="0.2">
      <c r="A256" s="173">
        <v>255</v>
      </c>
      <c r="B256" s="173" t="s">
        <v>3618</v>
      </c>
      <c r="C256" s="173"/>
      <c r="D256" s="173"/>
      <c r="E256" s="173">
        <v>6</v>
      </c>
      <c r="F256" s="173"/>
      <c r="G256" s="173">
        <v>1427</v>
      </c>
      <c r="H256" s="173"/>
    </row>
    <row r="257" spans="1:8" x14ac:dyDescent="0.2">
      <c r="A257" s="173">
        <v>256</v>
      </c>
      <c r="B257" s="173" t="s">
        <v>3710</v>
      </c>
      <c r="C257" s="173"/>
      <c r="D257" s="173"/>
      <c r="E257" s="173">
        <v>6</v>
      </c>
      <c r="F257" s="173"/>
      <c r="G257" s="173">
        <v>914</v>
      </c>
      <c r="H257" s="173"/>
    </row>
    <row r="258" spans="1:8" x14ac:dyDescent="0.2">
      <c r="A258" s="173">
        <v>257</v>
      </c>
      <c r="B258" s="173" t="s">
        <v>3748</v>
      </c>
      <c r="C258" s="173" t="s">
        <v>3749</v>
      </c>
      <c r="D258" s="173"/>
      <c r="E258" s="173">
        <v>5</v>
      </c>
      <c r="F258" s="173"/>
      <c r="G258" s="173">
        <v>1697</v>
      </c>
      <c r="H258" s="173"/>
    </row>
    <row r="259" spans="1:8" x14ac:dyDescent="0.2">
      <c r="A259" s="173">
        <v>258</v>
      </c>
      <c r="B259" s="173" t="s">
        <v>3587</v>
      </c>
      <c r="C259" s="173"/>
      <c r="D259" s="173"/>
      <c r="E259" s="173">
        <v>6</v>
      </c>
      <c r="F259" s="173"/>
      <c r="G259" s="173">
        <v>626</v>
      </c>
      <c r="H259" s="173"/>
    </row>
    <row r="260" spans="1:8" x14ac:dyDescent="0.2">
      <c r="A260" s="173">
        <v>259</v>
      </c>
      <c r="B260" s="173" t="s">
        <v>3529</v>
      </c>
      <c r="C260" s="173"/>
      <c r="D260" s="173"/>
      <c r="E260" s="173">
        <v>6</v>
      </c>
      <c r="F260" s="173"/>
      <c r="G260" s="173">
        <v>419</v>
      </c>
      <c r="H260" s="173"/>
    </row>
    <row r="261" spans="1:8" x14ac:dyDescent="0.2">
      <c r="A261" s="173">
        <v>260</v>
      </c>
      <c r="B261" s="173" t="s">
        <v>1507</v>
      </c>
      <c r="C261" s="173"/>
      <c r="D261" s="173"/>
      <c r="E261" s="173">
        <v>6</v>
      </c>
      <c r="F261" s="173"/>
      <c r="G261" s="173">
        <v>799</v>
      </c>
      <c r="H261" s="173"/>
    </row>
    <row r="262" spans="1:8" x14ac:dyDescent="0.2">
      <c r="A262" s="173">
        <v>261</v>
      </c>
      <c r="B262" s="173" t="s">
        <v>1456</v>
      </c>
      <c r="C262" s="173"/>
      <c r="D262" s="173"/>
      <c r="E262" s="173">
        <v>6</v>
      </c>
      <c r="F262" s="173">
        <v>922.5</v>
      </c>
      <c r="G262" s="173">
        <v>1999</v>
      </c>
      <c r="H262" s="173"/>
    </row>
    <row r="263" spans="1:8" x14ac:dyDescent="0.2">
      <c r="A263" s="173">
        <v>262</v>
      </c>
      <c r="B263" s="173" t="s">
        <v>4198</v>
      </c>
      <c r="C263" s="173"/>
      <c r="D263" s="173"/>
      <c r="E263" s="173">
        <v>6</v>
      </c>
      <c r="F263" s="173"/>
      <c r="G263" s="173">
        <v>333</v>
      </c>
      <c r="H263" s="173"/>
    </row>
    <row r="264" spans="1:8" x14ac:dyDescent="0.2">
      <c r="A264" s="173">
        <v>263</v>
      </c>
      <c r="B264" s="173" t="s">
        <v>3994</v>
      </c>
      <c r="C264" s="173"/>
      <c r="D264" s="173"/>
      <c r="E264" s="173">
        <v>6</v>
      </c>
      <c r="F264" s="173"/>
      <c r="G264" s="173">
        <v>1013</v>
      </c>
      <c r="H264" s="173"/>
    </row>
    <row r="265" spans="1:8" x14ac:dyDescent="0.2">
      <c r="A265" s="173">
        <v>264</v>
      </c>
      <c r="B265" s="173" t="s">
        <v>3632</v>
      </c>
      <c r="C265" s="173"/>
      <c r="D265" s="173"/>
      <c r="E265" s="173">
        <v>6</v>
      </c>
      <c r="F265" s="173"/>
      <c r="G265" s="173">
        <v>698</v>
      </c>
      <c r="H265" s="173"/>
    </row>
    <row r="266" spans="1:8" x14ac:dyDescent="0.2">
      <c r="A266" s="173">
        <v>265</v>
      </c>
      <c r="B266" s="173" t="s">
        <v>4466</v>
      </c>
      <c r="C266" s="173"/>
      <c r="D266" s="173"/>
      <c r="E266" s="173">
        <v>6</v>
      </c>
      <c r="F266" s="173"/>
      <c r="G266" s="173">
        <v>779</v>
      </c>
      <c r="H266" s="173"/>
    </row>
    <row r="267" spans="1:8" x14ac:dyDescent="0.2">
      <c r="A267" s="173">
        <v>266</v>
      </c>
      <c r="B267" s="173" t="s">
        <v>4467</v>
      </c>
      <c r="C267" s="173"/>
      <c r="D267" s="173"/>
      <c r="E267" s="173">
        <v>6</v>
      </c>
      <c r="F267" s="173"/>
      <c r="G267" s="173">
        <v>374</v>
      </c>
      <c r="H267" s="173"/>
    </row>
    <row r="268" spans="1:8" x14ac:dyDescent="0.2">
      <c r="A268" s="173">
        <v>267</v>
      </c>
      <c r="B268" s="173" t="s">
        <v>4468</v>
      </c>
      <c r="C268" s="173"/>
      <c r="D268" s="173"/>
      <c r="E268" s="173">
        <v>6</v>
      </c>
      <c r="F268" s="173"/>
      <c r="G268" s="173">
        <v>195</v>
      </c>
      <c r="H268" s="173"/>
    </row>
    <row r="269" spans="1:8" x14ac:dyDescent="0.2">
      <c r="A269" s="173">
        <v>268</v>
      </c>
      <c r="B269" s="173" t="s">
        <v>4469</v>
      </c>
      <c r="C269" s="173"/>
      <c r="D269" s="173"/>
      <c r="E269" s="173">
        <v>6</v>
      </c>
      <c r="F269" s="173"/>
      <c r="G269" s="173">
        <v>379</v>
      </c>
      <c r="H269" s="173"/>
    </row>
    <row r="270" spans="1:8" x14ac:dyDescent="0.2">
      <c r="A270" s="173">
        <v>269</v>
      </c>
      <c r="B270" s="173" t="s">
        <v>4537</v>
      </c>
      <c r="C270" s="173"/>
      <c r="D270" s="173"/>
      <c r="E270" s="173">
        <v>6</v>
      </c>
      <c r="F270" s="173"/>
      <c r="G270" s="173">
        <v>968</v>
      </c>
      <c r="H270" s="173"/>
    </row>
    <row r="271" spans="1:8" x14ac:dyDescent="0.2">
      <c r="A271" s="173">
        <v>270</v>
      </c>
      <c r="B271" s="173" t="s">
        <v>4606</v>
      </c>
      <c r="C271" s="173"/>
      <c r="D271" s="173"/>
      <c r="E271" s="173">
        <v>6</v>
      </c>
      <c r="F271" s="173"/>
      <c r="G271" s="173">
        <v>497</v>
      </c>
      <c r="H271" s="173"/>
    </row>
    <row r="272" spans="1:8" x14ac:dyDescent="0.2">
      <c r="A272" s="173">
        <v>271</v>
      </c>
      <c r="B272" s="173" t="s">
        <v>4621</v>
      </c>
      <c r="C272" s="173"/>
      <c r="D272" s="173"/>
      <c r="E272" s="173">
        <v>6</v>
      </c>
      <c r="F272" s="173"/>
      <c r="G272" s="173">
        <v>383</v>
      </c>
      <c r="H272" s="173"/>
    </row>
    <row r="273" spans="1:8" x14ac:dyDescent="0.2">
      <c r="A273" s="173">
        <v>272</v>
      </c>
      <c r="B273" s="173" t="s">
        <v>3895</v>
      </c>
      <c r="C273" s="173"/>
      <c r="D273" s="173"/>
      <c r="E273" s="173">
        <v>6.5</v>
      </c>
      <c r="F273" s="173"/>
      <c r="G273" s="173">
        <v>4757</v>
      </c>
      <c r="H273" s="173"/>
    </row>
    <row r="274" spans="1:8" x14ac:dyDescent="0.2">
      <c r="A274" s="173">
        <v>273</v>
      </c>
      <c r="B274" s="173" t="s">
        <v>3277</v>
      </c>
      <c r="C274" s="173"/>
      <c r="D274" s="173"/>
      <c r="E274" s="173">
        <v>7</v>
      </c>
      <c r="F274" s="173"/>
      <c r="G274" s="173">
        <v>2822</v>
      </c>
      <c r="H274" s="173"/>
    </row>
    <row r="275" spans="1:8" x14ac:dyDescent="0.2">
      <c r="A275" s="173">
        <v>274</v>
      </c>
      <c r="B275" s="173" t="s">
        <v>1490</v>
      </c>
      <c r="C275" s="173"/>
      <c r="D275" s="173"/>
      <c r="E275" s="173">
        <v>7</v>
      </c>
      <c r="F275" s="173">
        <v>412</v>
      </c>
      <c r="G275" s="173">
        <v>896</v>
      </c>
      <c r="H275" s="173"/>
    </row>
    <row r="276" spans="1:8" x14ac:dyDescent="0.2">
      <c r="A276" s="173">
        <v>275</v>
      </c>
      <c r="B276" s="173" t="s">
        <v>3460</v>
      </c>
      <c r="C276" s="173"/>
      <c r="D276" s="173"/>
      <c r="E276" s="173">
        <v>5</v>
      </c>
      <c r="F276" s="173"/>
      <c r="G276" s="173">
        <v>1979</v>
      </c>
      <c r="H276" s="173"/>
    </row>
    <row r="277" spans="1:8" x14ac:dyDescent="0.2">
      <c r="A277" s="173">
        <v>276</v>
      </c>
      <c r="B277" s="173" t="s">
        <v>3306</v>
      </c>
      <c r="C277" s="173"/>
      <c r="D277" s="173"/>
      <c r="E277" s="173">
        <v>7</v>
      </c>
      <c r="F277" s="173"/>
      <c r="G277" s="173">
        <v>2930</v>
      </c>
      <c r="H277" s="173"/>
    </row>
    <row r="278" spans="1:8" x14ac:dyDescent="0.2">
      <c r="A278" s="173">
        <v>277</v>
      </c>
      <c r="B278" s="173" t="s">
        <v>1457</v>
      </c>
      <c r="C278" s="173"/>
      <c r="D278" s="173"/>
      <c r="E278" s="173">
        <v>7</v>
      </c>
      <c r="F278" s="173">
        <v>949.5</v>
      </c>
      <c r="G278" s="173">
        <v>2075</v>
      </c>
      <c r="H278" s="173"/>
    </row>
    <row r="279" spans="1:8" x14ac:dyDescent="0.2">
      <c r="A279" s="173">
        <v>278</v>
      </c>
      <c r="B279" s="173" t="s">
        <v>3455</v>
      </c>
      <c r="C279" s="173"/>
      <c r="D279" s="173"/>
      <c r="E279" s="173">
        <v>7</v>
      </c>
      <c r="F279" s="173"/>
      <c r="G279" s="173">
        <v>2192</v>
      </c>
      <c r="H279" s="173"/>
    </row>
    <row r="280" spans="1:8" x14ac:dyDescent="0.2">
      <c r="A280" s="173">
        <v>279</v>
      </c>
      <c r="B280" s="173" t="s">
        <v>3591</v>
      </c>
      <c r="C280" s="173"/>
      <c r="D280" s="173"/>
      <c r="E280" s="173">
        <v>7</v>
      </c>
      <c r="F280" s="173"/>
      <c r="G280" s="173">
        <v>1285</v>
      </c>
      <c r="H280" s="173"/>
    </row>
    <row r="281" spans="1:8" x14ac:dyDescent="0.2">
      <c r="A281" s="173">
        <v>280</v>
      </c>
      <c r="B281" s="173" t="s">
        <v>3692</v>
      </c>
      <c r="C281" s="173"/>
      <c r="D281" s="173"/>
      <c r="E281" s="173">
        <v>7</v>
      </c>
      <c r="F281" s="173"/>
      <c r="G281" s="173">
        <v>2129</v>
      </c>
      <c r="H281" s="173"/>
    </row>
    <row r="282" spans="1:8" x14ac:dyDescent="0.2">
      <c r="A282" s="173">
        <v>281</v>
      </c>
      <c r="B282" s="173" t="s">
        <v>3918</v>
      </c>
      <c r="C282" s="173"/>
      <c r="D282" s="173"/>
      <c r="E282" s="173">
        <v>7</v>
      </c>
      <c r="F282" s="173"/>
      <c r="G282" s="173">
        <v>280</v>
      </c>
      <c r="H282" s="173"/>
    </row>
    <row r="283" spans="1:8" x14ac:dyDescent="0.2">
      <c r="A283" s="173">
        <v>282</v>
      </c>
      <c r="B283" s="173" t="s">
        <v>1539</v>
      </c>
      <c r="C283" s="173" t="s">
        <v>2176</v>
      </c>
      <c r="D283" s="173"/>
      <c r="E283" s="173">
        <v>7</v>
      </c>
      <c r="F283" s="173">
        <v>293</v>
      </c>
      <c r="G283" s="173">
        <v>662</v>
      </c>
      <c r="H283" s="173"/>
    </row>
    <row r="284" spans="1:8" x14ac:dyDescent="0.2">
      <c r="A284" s="173">
        <v>283</v>
      </c>
      <c r="B284" s="173" t="s">
        <v>3691</v>
      </c>
      <c r="C284" s="173"/>
      <c r="D284" s="173"/>
      <c r="E284" s="173">
        <v>7</v>
      </c>
      <c r="F284" s="173"/>
      <c r="G284" s="173">
        <v>1805</v>
      </c>
      <c r="H284" s="173"/>
    </row>
    <row r="285" spans="1:8" x14ac:dyDescent="0.2">
      <c r="A285" s="173">
        <v>284</v>
      </c>
      <c r="B285" s="173" t="s">
        <v>3828</v>
      </c>
      <c r="C285" s="175"/>
      <c r="D285" s="175"/>
      <c r="E285" s="173">
        <v>7</v>
      </c>
      <c r="F285" s="173"/>
      <c r="G285" s="173">
        <v>2359</v>
      </c>
      <c r="H285" s="173"/>
    </row>
    <row r="286" spans="1:8" x14ac:dyDescent="0.2">
      <c r="A286" s="173">
        <v>285</v>
      </c>
      <c r="B286" s="173">
        <v>66105</v>
      </c>
      <c r="C286" s="173" t="s">
        <v>3388</v>
      </c>
      <c r="D286" s="173"/>
      <c r="E286" s="173">
        <v>7</v>
      </c>
      <c r="F286" s="173"/>
      <c r="G286" s="173">
        <v>1112</v>
      </c>
      <c r="H286" s="173"/>
    </row>
    <row r="287" spans="1:8" x14ac:dyDescent="0.2">
      <c r="A287" s="173">
        <v>286</v>
      </c>
      <c r="B287" s="173" t="s">
        <v>3739</v>
      </c>
      <c r="C287" s="173" t="s">
        <v>3740</v>
      </c>
      <c r="D287" s="173"/>
      <c r="E287" s="173">
        <v>7</v>
      </c>
      <c r="F287" s="173"/>
      <c r="G287" s="173">
        <v>1650</v>
      </c>
      <c r="H287" s="173"/>
    </row>
    <row r="288" spans="1:8" x14ac:dyDescent="0.2">
      <c r="A288" s="173">
        <v>287</v>
      </c>
      <c r="B288" s="173" t="s">
        <v>1534</v>
      </c>
      <c r="C288" s="173"/>
      <c r="D288" s="173"/>
      <c r="E288" s="173">
        <v>0</v>
      </c>
      <c r="F288" s="173">
        <v>677.5</v>
      </c>
      <c r="G288" s="173">
        <v>1495</v>
      </c>
      <c r="H288" s="173"/>
    </row>
    <row r="289" spans="1:8" x14ac:dyDescent="0.2">
      <c r="A289" s="173">
        <v>288</v>
      </c>
      <c r="B289" s="173" t="s">
        <v>4426</v>
      </c>
      <c r="C289" s="175"/>
      <c r="D289" s="175"/>
      <c r="E289" s="173">
        <v>7</v>
      </c>
      <c r="F289" s="173"/>
      <c r="G289" s="173">
        <v>635</v>
      </c>
      <c r="H289" s="173"/>
    </row>
    <row r="290" spans="1:8" x14ac:dyDescent="0.2">
      <c r="A290" s="173">
        <v>289</v>
      </c>
      <c r="B290" s="173" t="s">
        <v>3075</v>
      </c>
      <c r="C290" s="173"/>
      <c r="D290" s="173"/>
      <c r="E290" s="173">
        <v>7</v>
      </c>
      <c r="F290" s="173"/>
      <c r="G290" s="173">
        <v>1292</v>
      </c>
      <c r="H290" s="173"/>
    </row>
    <row r="291" spans="1:8" x14ac:dyDescent="0.2">
      <c r="A291" s="173">
        <v>290</v>
      </c>
      <c r="B291" s="173" t="s">
        <v>3343</v>
      </c>
      <c r="C291" s="173"/>
      <c r="D291" s="173"/>
      <c r="E291" s="173">
        <v>7</v>
      </c>
      <c r="F291" s="173"/>
      <c r="G291" s="173">
        <v>1859</v>
      </c>
      <c r="H291" s="173"/>
    </row>
    <row r="292" spans="1:8" x14ac:dyDescent="0.2">
      <c r="A292" s="173">
        <v>291</v>
      </c>
      <c r="B292" s="173" t="s">
        <v>3454</v>
      </c>
      <c r="C292" s="173"/>
      <c r="D292" s="173"/>
      <c r="E292" s="173">
        <v>7.5</v>
      </c>
      <c r="F292" s="173"/>
      <c r="G292" s="173">
        <v>3799</v>
      </c>
      <c r="H292" s="173"/>
    </row>
    <row r="293" spans="1:8" x14ac:dyDescent="0.2">
      <c r="A293" s="173">
        <v>292</v>
      </c>
      <c r="B293" s="173" t="s">
        <v>4317</v>
      </c>
      <c r="C293" s="173"/>
      <c r="D293" s="173"/>
      <c r="E293" s="173">
        <v>8</v>
      </c>
      <c r="F293" s="173"/>
      <c r="G293" s="173">
        <v>3800</v>
      </c>
      <c r="H293" s="173"/>
    </row>
    <row r="294" spans="1:8" x14ac:dyDescent="0.2">
      <c r="A294" s="173">
        <v>293</v>
      </c>
      <c r="B294" s="173" t="s">
        <v>1688</v>
      </c>
      <c r="C294" s="173"/>
      <c r="D294" s="173"/>
      <c r="E294" s="173">
        <v>8</v>
      </c>
      <c r="F294" s="173"/>
      <c r="G294" s="173">
        <v>1850</v>
      </c>
      <c r="H294" s="173"/>
    </row>
    <row r="295" spans="1:8" x14ac:dyDescent="0.2">
      <c r="A295" s="173">
        <v>294</v>
      </c>
      <c r="B295" s="173" t="s">
        <v>1529</v>
      </c>
      <c r="C295" s="173"/>
      <c r="D295" s="173"/>
      <c r="E295" s="173">
        <v>12</v>
      </c>
      <c r="F295" s="173"/>
      <c r="G295" s="173">
        <v>1850</v>
      </c>
      <c r="H295" s="173"/>
    </row>
    <row r="296" spans="1:8" x14ac:dyDescent="0.2">
      <c r="A296" s="173">
        <v>295</v>
      </c>
      <c r="B296" s="173" t="s">
        <v>3713</v>
      </c>
      <c r="C296" s="173"/>
      <c r="D296" s="173"/>
      <c r="E296" s="173">
        <v>8</v>
      </c>
      <c r="F296" s="173"/>
      <c r="G296" s="173">
        <v>1090</v>
      </c>
      <c r="H296" s="173"/>
    </row>
    <row r="297" spans="1:8" x14ac:dyDescent="0.2">
      <c r="A297" s="173">
        <v>296</v>
      </c>
      <c r="B297" s="173" t="s">
        <v>3515</v>
      </c>
      <c r="C297" s="173"/>
      <c r="D297" s="173"/>
      <c r="E297" s="173">
        <v>8</v>
      </c>
      <c r="F297" s="173"/>
      <c r="G297" s="173">
        <v>923</v>
      </c>
      <c r="H297" s="173"/>
    </row>
    <row r="298" spans="1:8" x14ac:dyDescent="0.2">
      <c r="A298" s="173">
        <v>297</v>
      </c>
      <c r="B298" s="173" t="s">
        <v>4242</v>
      </c>
      <c r="C298" s="173"/>
      <c r="D298" s="173"/>
      <c r="E298" s="173">
        <v>8</v>
      </c>
      <c r="F298" s="173"/>
      <c r="G298" s="173">
        <v>995</v>
      </c>
      <c r="H298" s="173"/>
    </row>
    <row r="299" spans="1:8" x14ac:dyDescent="0.2">
      <c r="A299" s="173">
        <v>298</v>
      </c>
      <c r="B299" s="173" t="s">
        <v>1522</v>
      </c>
      <c r="C299" s="173"/>
      <c r="D299" s="173"/>
      <c r="E299" s="173">
        <v>8</v>
      </c>
      <c r="F299" s="173"/>
      <c r="G299" s="173">
        <v>635</v>
      </c>
      <c r="H299" s="173"/>
    </row>
    <row r="300" spans="1:8" x14ac:dyDescent="0.2">
      <c r="A300" s="173">
        <v>299</v>
      </c>
      <c r="B300" s="173" t="s">
        <v>3519</v>
      </c>
      <c r="C300" s="175">
        <v>0.28000000000000003</v>
      </c>
      <c r="D300" s="175"/>
      <c r="E300" s="173">
        <v>8</v>
      </c>
      <c r="F300" s="173"/>
      <c r="G300" s="173">
        <v>668</v>
      </c>
      <c r="H300" s="173"/>
    </row>
    <row r="301" spans="1:8" x14ac:dyDescent="0.2">
      <c r="A301" s="173">
        <v>300</v>
      </c>
      <c r="B301" s="173" t="s">
        <v>3524</v>
      </c>
      <c r="C301" s="173"/>
      <c r="D301" s="173"/>
      <c r="E301" s="173">
        <v>6</v>
      </c>
      <c r="F301" s="173"/>
      <c r="G301" s="173">
        <v>2350</v>
      </c>
      <c r="H301" s="173"/>
    </row>
    <row r="302" spans="1:8" x14ac:dyDescent="0.2">
      <c r="A302" s="173">
        <v>301</v>
      </c>
      <c r="B302" s="173" t="s">
        <v>3992</v>
      </c>
      <c r="C302" s="173"/>
      <c r="D302" s="173"/>
      <c r="E302" s="173">
        <v>8</v>
      </c>
      <c r="F302" s="173"/>
      <c r="G302" s="173">
        <v>1066</v>
      </c>
      <c r="H302" s="173"/>
    </row>
    <row r="303" spans="1:8" x14ac:dyDescent="0.2">
      <c r="A303" s="173">
        <v>302</v>
      </c>
      <c r="B303" s="173" t="s">
        <v>2057</v>
      </c>
      <c r="C303" s="173"/>
      <c r="D303" s="173"/>
      <c r="E303" s="173">
        <v>8</v>
      </c>
      <c r="F303" s="173"/>
      <c r="G303" s="173">
        <v>932</v>
      </c>
      <c r="H303" s="173"/>
    </row>
    <row r="304" spans="1:8" x14ac:dyDescent="0.2">
      <c r="A304" s="173">
        <v>303</v>
      </c>
      <c r="B304" s="173" t="s">
        <v>1541</v>
      </c>
      <c r="C304" s="173"/>
      <c r="D304" s="173"/>
      <c r="E304" s="173">
        <v>8</v>
      </c>
      <c r="F304" s="173">
        <v>239.5</v>
      </c>
      <c r="G304" s="173">
        <f>F304*2</f>
        <v>479</v>
      </c>
      <c r="H304" s="173"/>
    </row>
    <row r="305" spans="1:8" x14ac:dyDescent="0.2">
      <c r="A305" s="173">
        <v>304</v>
      </c>
      <c r="B305" s="173" t="s">
        <v>1790</v>
      </c>
      <c r="C305" s="173"/>
      <c r="D305" s="173"/>
      <c r="E305" s="173">
        <v>8</v>
      </c>
      <c r="F305" s="173"/>
      <c r="G305" s="173">
        <v>262</v>
      </c>
      <c r="H305" s="173"/>
    </row>
    <row r="306" spans="1:8" x14ac:dyDescent="0.2">
      <c r="A306" s="173">
        <v>305</v>
      </c>
      <c r="B306" s="173" t="s">
        <v>3695</v>
      </c>
      <c r="C306" s="173"/>
      <c r="D306" s="173"/>
      <c r="E306" s="173">
        <v>8</v>
      </c>
      <c r="F306" s="173"/>
      <c r="G306" s="173">
        <v>1310</v>
      </c>
      <c r="H306" s="173"/>
    </row>
    <row r="307" spans="1:8" x14ac:dyDescent="0.2">
      <c r="A307" s="173">
        <v>306</v>
      </c>
      <c r="B307" s="173" t="s">
        <v>3746</v>
      </c>
      <c r="C307" s="173"/>
      <c r="D307" s="173"/>
      <c r="E307" s="173">
        <v>8</v>
      </c>
      <c r="F307" s="173"/>
      <c r="G307" s="173">
        <v>797</v>
      </c>
      <c r="H307" s="173"/>
    </row>
    <row r="308" spans="1:8" x14ac:dyDescent="0.2">
      <c r="A308" s="173">
        <v>307</v>
      </c>
      <c r="B308" s="173" t="s">
        <v>3825</v>
      </c>
      <c r="C308" s="175"/>
      <c r="D308" s="175"/>
      <c r="E308" s="173">
        <v>8</v>
      </c>
      <c r="F308" s="173"/>
      <c r="G308" s="173">
        <v>995</v>
      </c>
      <c r="H308" s="173"/>
    </row>
    <row r="309" spans="1:8" x14ac:dyDescent="0.2">
      <c r="A309" s="173">
        <v>308</v>
      </c>
      <c r="B309" s="173" t="s">
        <v>1543</v>
      </c>
      <c r="C309" s="173"/>
      <c r="D309" s="173"/>
      <c r="E309" s="173">
        <v>6</v>
      </c>
      <c r="F309" s="173">
        <v>166.5</v>
      </c>
      <c r="G309" s="173">
        <f>F309*2</f>
        <v>333</v>
      </c>
      <c r="H309" s="173"/>
    </row>
    <row r="310" spans="1:8" x14ac:dyDescent="0.2">
      <c r="A310" s="173">
        <v>309</v>
      </c>
      <c r="B310" s="173" t="s">
        <v>3990</v>
      </c>
      <c r="C310" s="173"/>
      <c r="D310" s="173"/>
      <c r="E310" s="173">
        <v>8</v>
      </c>
      <c r="F310" s="173"/>
      <c r="G310" s="173">
        <v>671</v>
      </c>
      <c r="H310" s="173"/>
    </row>
    <row r="311" spans="1:8" x14ac:dyDescent="0.2">
      <c r="A311" s="173">
        <v>310</v>
      </c>
      <c r="B311" s="173" t="s">
        <v>3642</v>
      </c>
      <c r="C311" s="173"/>
      <c r="D311" s="173"/>
      <c r="E311" s="173">
        <v>8</v>
      </c>
      <c r="F311" s="173"/>
      <c r="G311" s="173">
        <v>1391</v>
      </c>
      <c r="H311" s="173"/>
    </row>
    <row r="312" spans="1:8" x14ac:dyDescent="0.2">
      <c r="A312" s="173">
        <v>311</v>
      </c>
      <c r="B312" s="173" t="s">
        <v>3687</v>
      </c>
      <c r="C312" s="173"/>
      <c r="D312" s="173"/>
      <c r="E312" s="173">
        <v>8</v>
      </c>
      <c r="F312" s="173"/>
      <c r="G312" s="173">
        <v>824</v>
      </c>
      <c r="H312" s="173"/>
    </row>
    <row r="313" spans="1:8" x14ac:dyDescent="0.2">
      <c r="A313" s="173">
        <v>312</v>
      </c>
      <c r="B313" s="173" t="s">
        <v>1569</v>
      </c>
      <c r="C313" s="173"/>
      <c r="D313" s="173"/>
      <c r="E313" s="173">
        <v>8</v>
      </c>
      <c r="F313" s="173">
        <v>230</v>
      </c>
      <c r="G313" s="173">
        <v>491</v>
      </c>
      <c r="H313" s="173"/>
    </row>
    <row r="314" spans="1:8" x14ac:dyDescent="0.2">
      <c r="A314" s="173">
        <v>313</v>
      </c>
      <c r="B314" s="173" t="s">
        <v>1449</v>
      </c>
      <c r="C314" s="173" t="s">
        <v>2147</v>
      </c>
      <c r="D314" s="173"/>
      <c r="E314" s="173">
        <v>18</v>
      </c>
      <c r="F314" s="173">
        <v>399.5</v>
      </c>
      <c r="G314" s="176" t="s">
        <v>4640</v>
      </c>
      <c r="H314" s="173"/>
    </row>
    <row r="315" spans="1:8" x14ac:dyDescent="0.2">
      <c r="A315" s="173">
        <v>314</v>
      </c>
      <c r="B315" s="173" t="s">
        <v>4338</v>
      </c>
      <c r="C315" s="173"/>
      <c r="D315" s="173"/>
      <c r="E315" s="173">
        <v>7</v>
      </c>
      <c r="F315" s="173"/>
      <c r="G315" s="173">
        <v>266</v>
      </c>
      <c r="H315" s="173"/>
    </row>
    <row r="316" spans="1:8" x14ac:dyDescent="0.2">
      <c r="A316" s="173">
        <v>315</v>
      </c>
      <c r="B316" s="173" t="s">
        <v>1566</v>
      </c>
      <c r="C316" s="173"/>
      <c r="D316" s="173"/>
      <c r="E316" s="173">
        <v>8</v>
      </c>
      <c r="F316" s="173">
        <v>187.5</v>
      </c>
      <c r="G316" s="173">
        <v>428</v>
      </c>
      <c r="H316" s="173"/>
    </row>
    <row r="317" spans="1:8" x14ac:dyDescent="0.2">
      <c r="A317" s="173">
        <v>316</v>
      </c>
      <c r="B317" s="173" t="s">
        <v>1784</v>
      </c>
      <c r="C317" s="173"/>
      <c r="D317" s="173"/>
      <c r="E317" s="173">
        <v>3</v>
      </c>
      <c r="F317" s="173"/>
      <c r="G317" s="173">
        <v>554</v>
      </c>
      <c r="H317" s="173" t="s">
        <v>669</v>
      </c>
    </row>
    <row r="318" spans="1:8" x14ac:dyDescent="0.2">
      <c r="A318" s="173">
        <v>317</v>
      </c>
      <c r="B318" s="173" t="s">
        <v>1691</v>
      </c>
      <c r="C318" s="173" t="s">
        <v>3291</v>
      </c>
      <c r="D318" s="173"/>
      <c r="E318" s="173">
        <v>0</v>
      </c>
      <c r="F318" s="173"/>
      <c r="G318" s="173">
        <v>480</v>
      </c>
      <c r="H318" s="173"/>
    </row>
    <row r="319" spans="1:8" x14ac:dyDescent="0.2">
      <c r="A319" s="173">
        <v>318</v>
      </c>
      <c r="B319" s="173" t="s">
        <v>1523</v>
      </c>
      <c r="C319" s="173"/>
      <c r="D319" s="173"/>
      <c r="E319" s="173">
        <v>6</v>
      </c>
      <c r="F319" s="173"/>
      <c r="G319" s="173">
        <v>1076</v>
      </c>
      <c r="H319" s="173"/>
    </row>
    <row r="320" spans="1:8" x14ac:dyDescent="0.2">
      <c r="A320" s="173">
        <v>319</v>
      </c>
      <c r="B320" s="173" t="s">
        <v>1453</v>
      </c>
      <c r="C320" s="173" t="s">
        <v>2149</v>
      </c>
      <c r="D320" s="173"/>
      <c r="E320" s="173">
        <v>26</v>
      </c>
      <c r="F320" s="173">
        <v>230</v>
      </c>
      <c r="G320" s="173" t="s">
        <v>2772</v>
      </c>
      <c r="H320" s="173"/>
    </row>
    <row r="321" spans="1:8" x14ac:dyDescent="0.2">
      <c r="A321" s="173">
        <v>320</v>
      </c>
      <c r="B321" s="173" t="s">
        <v>4320</v>
      </c>
      <c r="C321" s="173"/>
      <c r="D321" s="173"/>
      <c r="E321" s="173">
        <v>9</v>
      </c>
      <c r="F321" s="173"/>
      <c r="G321" s="173">
        <v>672</v>
      </c>
      <c r="H321" s="173"/>
    </row>
    <row r="322" spans="1:8" x14ac:dyDescent="0.2">
      <c r="A322" s="173">
        <v>321</v>
      </c>
      <c r="B322" s="173" t="s">
        <v>1494</v>
      </c>
      <c r="C322" s="173"/>
      <c r="D322" s="173"/>
      <c r="E322" s="173">
        <v>7</v>
      </c>
      <c r="F322" s="173">
        <v>632.5</v>
      </c>
      <c r="G322" s="173">
        <v>1381</v>
      </c>
      <c r="H322" s="173"/>
    </row>
    <row r="323" spans="1:8" x14ac:dyDescent="0.2">
      <c r="A323" s="173">
        <v>322</v>
      </c>
      <c r="B323" s="173" t="s">
        <v>4190</v>
      </c>
      <c r="C323" s="173"/>
      <c r="D323" s="173"/>
      <c r="E323" s="173">
        <v>9</v>
      </c>
      <c r="F323" s="173"/>
      <c r="G323" s="173">
        <v>1463</v>
      </c>
      <c r="H323" s="173"/>
    </row>
    <row r="324" spans="1:8" x14ac:dyDescent="0.2">
      <c r="A324" s="173">
        <v>323</v>
      </c>
      <c r="B324" s="173" t="s">
        <v>1508</v>
      </c>
      <c r="C324" s="173"/>
      <c r="D324" s="173"/>
      <c r="E324" s="173">
        <v>9</v>
      </c>
      <c r="F324" s="173"/>
      <c r="G324" s="173" t="s">
        <v>3659</v>
      </c>
      <c r="H324" s="173"/>
    </row>
    <row r="325" spans="1:8" x14ac:dyDescent="0.2">
      <c r="A325" s="173">
        <v>324</v>
      </c>
      <c r="B325" s="173" t="s">
        <v>3326</v>
      </c>
      <c r="C325" s="173"/>
      <c r="D325" s="173"/>
      <c r="E325" s="173">
        <v>9</v>
      </c>
      <c r="F325" s="173"/>
      <c r="G325" s="173">
        <v>365</v>
      </c>
      <c r="H325" s="173"/>
    </row>
    <row r="326" spans="1:8" x14ac:dyDescent="0.2">
      <c r="A326" s="173">
        <v>325</v>
      </c>
      <c r="B326" s="173" t="s">
        <v>3346</v>
      </c>
      <c r="C326" s="173"/>
      <c r="D326" s="173"/>
      <c r="E326" s="173">
        <v>9</v>
      </c>
      <c r="F326" s="173"/>
      <c r="G326" s="173">
        <v>671</v>
      </c>
      <c r="H326" s="173"/>
    </row>
    <row r="327" spans="1:8" x14ac:dyDescent="0.2">
      <c r="A327" s="173">
        <v>326</v>
      </c>
      <c r="B327" s="173" t="s">
        <v>2848</v>
      </c>
      <c r="C327" s="173"/>
      <c r="D327" s="173"/>
      <c r="E327" s="173">
        <v>9</v>
      </c>
      <c r="F327" s="173"/>
      <c r="G327" s="173">
        <v>896</v>
      </c>
      <c r="H327" s="173"/>
    </row>
    <row r="328" spans="1:8" x14ac:dyDescent="0.2">
      <c r="A328" s="173">
        <v>327</v>
      </c>
      <c r="B328" s="173" t="s">
        <v>3541</v>
      </c>
      <c r="C328" s="173"/>
      <c r="D328" s="173"/>
      <c r="E328" s="173">
        <v>9</v>
      </c>
      <c r="F328" s="173"/>
      <c r="G328" s="173">
        <v>999</v>
      </c>
      <c r="H328" s="173"/>
    </row>
    <row r="329" spans="1:8" x14ac:dyDescent="0.2">
      <c r="A329" s="173">
        <v>328</v>
      </c>
      <c r="B329" s="173" t="s">
        <v>1465</v>
      </c>
      <c r="C329" s="173" t="s">
        <v>2157</v>
      </c>
      <c r="D329" s="173"/>
      <c r="E329" s="173">
        <v>9</v>
      </c>
      <c r="F329" s="173">
        <v>288.5</v>
      </c>
      <c r="G329" s="173">
        <v>635</v>
      </c>
      <c r="H329" s="173"/>
    </row>
    <row r="330" spans="1:8" x14ac:dyDescent="0.2">
      <c r="A330" s="173">
        <v>329</v>
      </c>
      <c r="B330" s="173" t="s">
        <v>3824</v>
      </c>
      <c r="C330" s="175"/>
      <c r="D330" s="175"/>
      <c r="E330" s="173">
        <v>9</v>
      </c>
      <c r="F330" s="173"/>
      <c r="G330" s="173">
        <v>941</v>
      </c>
      <c r="H330" s="173"/>
    </row>
    <row r="331" spans="1:8" x14ac:dyDescent="0.2">
      <c r="A331" s="173">
        <v>330</v>
      </c>
      <c r="B331" s="173" t="s">
        <v>3735</v>
      </c>
      <c r="C331" s="173" t="s">
        <v>3736</v>
      </c>
      <c r="D331" s="173"/>
      <c r="E331" s="173">
        <v>8</v>
      </c>
      <c r="F331" s="173"/>
      <c r="G331" s="173">
        <v>921</v>
      </c>
      <c r="H331" s="173"/>
    </row>
    <row r="332" spans="1:8" x14ac:dyDescent="0.2">
      <c r="A332" s="173">
        <v>331</v>
      </c>
      <c r="B332" s="173" t="s">
        <v>3334</v>
      </c>
      <c r="C332" s="173"/>
      <c r="D332" s="173"/>
      <c r="E332" s="173">
        <v>7</v>
      </c>
      <c r="F332" s="173"/>
      <c r="G332" s="173">
        <v>960</v>
      </c>
      <c r="H332" s="173"/>
    </row>
    <row r="333" spans="1:8" x14ac:dyDescent="0.2">
      <c r="A333" s="173">
        <v>332</v>
      </c>
      <c r="B333" s="173" t="s">
        <v>3347</v>
      </c>
      <c r="C333" s="173"/>
      <c r="D333" s="173"/>
      <c r="E333" s="173">
        <v>9</v>
      </c>
      <c r="F333" s="173"/>
      <c r="G333" s="173">
        <v>1760</v>
      </c>
      <c r="H333" s="173"/>
    </row>
    <row r="334" spans="1:8" x14ac:dyDescent="0.2">
      <c r="A334" s="173">
        <v>333</v>
      </c>
      <c r="B334" s="173" t="s">
        <v>3328</v>
      </c>
      <c r="C334" s="173"/>
      <c r="D334" s="173"/>
      <c r="E334" s="173">
        <v>9</v>
      </c>
      <c r="F334" s="173"/>
      <c r="G334" s="173">
        <v>599</v>
      </c>
      <c r="H334" s="173"/>
    </row>
    <row r="335" spans="1:8" x14ac:dyDescent="0.2">
      <c r="A335" s="173">
        <v>334</v>
      </c>
      <c r="B335" s="173" t="s">
        <v>1520</v>
      </c>
      <c r="C335" s="173"/>
      <c r="D335" s="173"/>
      <c r="E335" s="173">
        <v>9</v>
      </c>
      <c r="F335" s="173"/>
      <c r="G335" s="173">
        <v>491</v>
      </c>
      <c r="H335" s="173"/>
    </row>
    <row r="336" spans="1:8" x14ac:dyDescent="0.2">
      <c r="A336" s="173">
        <v>335</v>
      </c>
      <c r="B336" s="173" t="s">
        <v>1474</v>
      </c>
      <c r="C336" s="173" t="s">
        <v>2171</v>
      </c>
      <c r="D336" s="173"/>
      <c r="E336" s="173">
        <v>9</v>
      </c>
      <c r="F336" s="173">
        <v>218.5</v>
      </c>
      <c r="G336" s="173">
        <v>491</v>
      </c>
      <c r="H336" s="173">
        <f>[2]COMPONENTS!$E$31556</f>
        <v>0</v>
      </c>
    </row>
    <row r="337" spans="1:8" x14ac:dyDescent="0.2">
      <c r="A337" s="173">
        <v>336</v>
      </c>
      <c r="B337" s="173" t="s">
        <v>3359</v>
      </c>
      <c r="C337" s="173"/>
      <c r="D337" s="173"/>
      <c r="E337" s="173">
        <v>6</v>
      </c>
      <c r="F337" s="173"/>
      <c r="G337" s="173">
        <v>644</v>
      </c>
      <c r="H337" s="173"/>
    </row>
    <row r="338" spans="1:8" x14ac:dyDescent="0.2">
      <c r="A338" s="173">
        <v>337</v>
      </c>
      <c r="B338" s="173" t="s">
        <v>1452</v>
      </c>
      <c r="C338" s="173" t="s">
        <v>2164</v>
      </c>
      <c r="D338" s="173"/>
      <c r="E338" s="173">
        <v>7</v>
      </c>
      <c r="F338" s="173">
        <v>1699.5</v>
      </c>
      <c r="G338" s="173">
        <v>2995</v>
      </c>
      <c r="H338" s="173"/>
    </row>
    <row r="339" spans="1:8" x14ac:dyDescent="0.2">
      <c r="A339" s="173">
        <v>338</v>
      </c>
      <c r="B339" s="173" t="s">
        <v>3581</v>
      </c>
      <c r="C339" s="173"/>
      <c r="D339" s="173"/>
      <c r="E339" s="173">
        <v>5</v>
      </c>
      <c r="F339" s="173"/>
      <c r="G339" s="173">
        <v>1130</v>
      </c>
      <c r="H339" s="173"/>
    </row>
    <row r="340" spans="1:8" x14ac:dyDescent="0.2">
      <c r="A340" s="173">
        <v>339</v>
      </c>
      <c r="B340" s="173" t="s">
        <v>3349</v>
      </c>
      <c r="C340" s="173" t="s">
        <v>3350</v>
      </c>
      <c r="D340" s="173"/>
      <c r="E340" s="173">
        <v>10</v>
      </c>
      <c r="F340" s="173"/>
      <c r="G340" s="173">
        <v>977</v>
      </c>
      <c r="H340" s="173"/>
    </row>
    <row r="341" spans="1:8" x14ac:dyDescent="0.2">
      <c r="A341" s="173">
        <v>340</v>
      </c>
      <c r="B341" s="173" t="s">
        <v>1615</v>
      </c>
      <c r="C341" s="173"/>
      <c r="D341" s="173"/>
      <c r="E341" s="173">
        <v>10</v>
      </c>
      <c r="F341" s="173"/>
      <c r="G341" s="173">
        <v>374</v>
      </c>
      <c r="H341" s="173"/>
    </row>
    <row r="342" spans="1:8" x14ac:dyDescent="0.2">
      <c r="A342" s="173">
        <v>341</v>
      </c>
      <c r="B342" s="173" t="s">
        <v>4201</v>
      </c>
      <c r="C342" s="173"/>
      <c r="D342" s="173"/>
      <c r="E342" s="173">
        <v>10</v>
      </c>
      <c r="F342" s="173"/>
      <c r="G342" s="173">
        <v>941</v>
      </c>
      <c r="H342" s="173"/>
    </row>
    <row r="343" spans="1:8" x14ac:dyDescent="0.2">
      <c r="A343" s="173">
        <v>342</v>
      </c>
      <c r="B343" s="173" t="s">
        <v>3923</v>
      </c>
      <c r="C343" s="173"/>
      <c r="D343" s="173"/>
      <c r="E343" s="173">
        <v>9</v>
      </c>
      <c r="F343" s="173"/>
      <c r="G343" s="173">
        <v>572</v>
      </c>
      <c r="H343" s="173"/>
    </row>
    <row r="344" spans="1:8" x14ac:dyDescent="0.2">
      <c r="A344" s="173">
        <v>343</v>
      </c>
      <c r="B344" s="173" t="s">
        <v>3562</v>
      </c>
      <c r="C344" s="173"/>
      <c r="D344" s="173"/>
      <c r="E344" s="173">
        <v>10</v>
      </c>
      <c r="F344" s="173"/>
      <c r="G344" s="173">
        <v>896</v>
      </c>
      <c r="H344" s="173"/>
    </row>
    <row r="345" spans="1:8" x14ac:dyDescent="0.2">
      <c r="A345" s="173">
        <v>344</v>
      </c>
      <c r="B345" s="173" t="s">
        <v>2260</v>
      </c>
      <c r="C345" s="173"/>
      <c r="D345" s="173"/>
      <c r="E345" s="173">
        <v>10</v>
      </c>
      <c r="F345" s="173"/>
      <c r="G345" s="173">
        <v>370</v>
      </c>
      <c r="H345" s="173"/>
    </row>
    <row r="346" spans="1:8" x14ac:dyDescent="0.2">
      <c r="A346" s="173">
        <v>345</v>
      </c>
      <c r="B346" s="173" t="s">
        <v>3727</v>
      </c>
      <c r="C346" s="173"/>
      <c r="D346" s="173"/>
      <c r="E346" s="173">
        <v>10</v>
      </c>
      <c r="F346" s="173"/>
      <c r="G346" s="173">
        <v>347</v>
      </c>
      <c r="H346" s="173"/>
    </row>
    <row r="347" spans="1:8" x14ac:dyDescent="0.2">
      <c r="A347" s="173">
        <v>346</v>
      </c>
      <c r="B347" s="173" t="s">
        <v>3763</v>
      </c>
      <c r="C347" s="173"/>
      <c r="D347" s="173"/>
      <c r="E347" s="173">
        <v>10</v>
      </c>
      <c r="F347" s="173"/>
      <c r="G347" s="173">
        <v>482</v>
      </c>
      <c r="H347" s="173"/>
    </row>
    <row r="348" spans="1:8" x14ac:dyDescent="0.2">
      <c r="A348" s="173">
        <v>347</v>
      </c>
      <c r="B348" s="173" t="s">
        <v>3690</v>
      </c>
      <c r="C348" s="173"/>
      <c r="D348" s="173"/>
      <c r="E348" s="173">
        <v>10</v>
      </c>
      <c r="F348" s="173"/>
      <c r="G348" s="173">
        <v>455</v>
      </c>
      <c r="H348" s="173"/>
    </row>
    <row r="349" spans="1:8" x14ac:dyDescent="0.2">
      <c r="A349" s="173">
        <v>348</v>
      </c>
      <c r="B349" s="173" t="s">
        <v>3072</v>
      </c>
      <c r="C349" s="173"/>
      <c r="D349" s="173"/>
      <c r="E349" s="173">
        <v>10</v>
      </c>
      <c r="F349" s="173"/>
      <c r="G349" s="173">
        <v>999</v>
      </c>
      <c r="H349" s="173"/>
    </row>
    <row r="350" spans="1:8" x14ac:dyDescent="0.2">
      <c r="A350" s="173">
        <v>349</v>
      </c>
      <c r="B350" s="173" t="s">
        <v>3566</v>
      </c>
      <c r="C350" s="175"/>
      <c r="D350" s="175"/>
      <c r="E350" s="173">
        <v>10</v>
      </c>
      <c r="F350" s="173"/>
      <c r="G350" s="173">
        <v>391</v>
      </c>
      <c r="H350" s="173"/>
    </row>
    <row r="351" spans="1:8" x14ac:dyDescent="0.2">
      <c r="A351" s="173">
        <v>350</v>
      </c>
      <c r="B351" s="173" t="s">
        <v>3518</v>
      </c>
      <c r="C351" s="175">
        <v>0.28000000000000003</v>
      </c>
      <c r="D351" s="175"/>
      <c r="E351" s="173">
        <v>10</v>
      </c>
      <c r="F351" s="173"/>
      <c r="G351" s="173">
        <v>1410</v>
      </c>
      <c r="H351" s="173"/>
    </row>
    <row r="352" spans="1:8" x14ac:dyDescent="0.2">
      <c r="A352" s="173">
        <v>351</v>
      </c>
      <c r="B352" s="173" t="s">
        <v>3337</v>
      </c>
      <c r="C352" s="173" t="s">
        <v>3354</v>
      </c>
      <c r="D352" s="173"/>
      <c r="E352" s="173">
        <v>10</v>
      </c>
      <c r="F352" s="173"/>
      <c r="G352" s="173">
        <v>988</v>
      </c>
      <c r="H352" s="173"/>
    </row>
    <row r="353" spans="1:8" x14ac:dyDescent="0.2">
      <c r="A353" s="173">
        <v>352</v>
      </c>
      <c r="B353" s="173" t="s">
        <v>3998</v>
      </c>
      <c r="C353" s="173"/>
      <c r="D353" s="173"/>
      <c r="E353" s="173">
        <v>10</v>
      </c>
      <c r="F353" s="173"/>
      <c r="G353" s="173">
        <v>590</v>
      </c>
      <c r="H353" s="173"/>
    </row>
    <row r="354" spans="1:8" x14ac:dyDescent="0.2">
      <c r="A354" s="173">
        <v>353</v>
      </c>
      <c r="B354" s="173" t="s">
        <v>1482</v>
      </c>
      <c r="C354" s="173"/>
      <c r="D354" s="173"/>
      <c r="E354" s="173">
        <v>10</v>
      </c>
      <c r="F354" s="173">
        <v>99.5</v>
      </c>
      <c r="G354" s="173">
        <v>221</v>
      </c>
      <c r="H354" s="173"/>
    </row>
    <row r="355" spans="1:8" x14ac:dyDescent="0.2">
      <c r="A355" s="173">
        <v>354</v>
      </c>
      <c r="B355" s="173" t="s">
        <v>3583</v>
      </c>
      <c r="C355" s="173"/>
      <c r="D355" s="173"/>
      <c r="E355" s="173">
        <v>16</v>
      </c>
      <c r="F355" s="173"/>
      <c r="G355" s="173">
        <v>885</v>
      </c>
      <c r="H355" s="173"/>
    </row>
    <row r="356" spans="1:8" x14ac:dyDescent="0.2">
      <c r="A356" s="173">
        <v>355</v>
      </c>
      <c r="B356" s="173" t="s">
        <v>4450</v>
      </c>
      <c r="C356" s="175"/>
      <c r="D356" s="175"/>
      <c r="E356" s="173">
        <v>10</v>
      </c>
      <c r="F356" s="173"/>
      <c r="G356" s="173">
        <v>671</v>
      </c>
      <c r="H356" s="173"/>
    </row>
    <row r="357" spans="1:8" x14ac:dyDescent="0.2">
      <c r="A357" s="173">
        <v>356</v>
      </c>
      <c r="B357" s="173" t="s">
        <v>4451</v>
      </c>
      <c r="C357" s="175"/>
      <c r="D357" s="175"/>
      <c r="E357" s="173">
        <v>10</v>
      </c>
      <c r="F357" s="173"/>
      <c r="G357" s="173">
        <v>320</v>
      </c>
      <c r="H357" s="173"/>
    </row>
    <row r="358" spans="1:8" x14ac:dyDescent="0.2">
      <c r="A358" s="173">
        <v>357</v>
      </c>
      <c r="B358" s="173" t="s">
        <v>4553</v>
      </c>
      <c r="C358" s="173"/>
      <c r="D358" s="173"/>
      <c r="E358" s="173">
        <v>10</v>
      </c>
      <c r="F358" s="173"/>
      <c r="G358" s="173">
        <v>419</v>
      </c>
      <c r="H358" s="173"/>
    </row>
    <row r="359" spans="1:8" x14ac:dyDescent="0.2">
      <c r="A359" s="173">
        <v>358</v>
      </c>
      <c r="B359" s="173" t="s">
        <v>4554</v>
      </c>
      <c r="C359" s="173"/>
      <c r="D359" s="173"/>
      <c r="E359" s="173">
        <v>10</v>
      </c>
      <c r="F359" s="173"/>
      <c r="G359" s="173">
        <v>419</v>
      </c>
      <c r="H359" s="173"/>
    </row>
    <row r="360" spans="1:8" x14ac:dyDescent="0.2">
      <c r="A360" s="173">
        <v>359</v>
      </c>
      <c r="B360" s="173" t="s">
        <v>4555</v>
      </c>
      <c r="C360" s="173"/>
      <c r="D360" s="173"/>
      <c r="E360" s="173">
        <v>10</v>
      </c>
      <c r="F360" s="173"/>
      <c r="G360" s="173">
        <v>419</v>
      </c>
      <c r="H360" s="173"/>
    </row>
    <row r="361" spans="1:8" x14ac:dyDescent="0.2">
      <c r="A361" s="173">
        <v>360</v>
      </c>
      <c r="B361" s="173" t="s">
        <v>4556</v>
      </c>
      <c r="C361" s="173"/>
      <c r="D361" s="173"/>
      <c r="E361" s="173">
        <v>10</v>
      </c>
      <c r="F361" s="173"/>
      <c r="G361" s="173">
        <v>289</v>
      </c>
      <c r="H361" s="173"/>
    </row>
    <row r="362" spans="1:8" x14ac:dyDescent="0.2">
      <c r="A362" s="173">
        <v>361</v>
      </c>
      <c r="B362" s="173" t="s">
        <v>4607</v>
      </c>
      <c r="C362" s="173"/>
      <c r="D362" s="173"/>
      <c r="E362" s="173">
        <v>0</v>
      </c>
      <c r="F362" s="173"/>
      <c r="G362" s="173">
        <v>299</v>
      </c>
      <c r="H362" s="173"/>
    </row>
    <row r="363" spans="1:8" x14ac:dyDescent="0.2">
      <c r="A363" s="173">
        <v>362</v>
      </c>
      <c r="B363" s="173" t="s">
        <v>4609</v>
      </c>
      <c r="C363" s="173"/>
      <c r="D363" s="173"/>
      <c r="E363" s="173">
        <v>9</v>
      </c>
      <c r="F363" s="173"/>
      <c r="G363" s="173">
        <v>1042</v>
      </c>
      <c r="H363" s="173"/>
    </row>
    <row r="364" spans="1:8" x14ac:dyDescent="0.2">
      <c r="A364" s="173">
        <v>363</v>
      </c>
      <c r="B364" s="173" t="s">
        <v>4619</v>
      </c>
      <c r="C364" s="173"/>
      <c r="D364" s="173"/>
      <c r="E364" s="173">
        <v>10</v>
      </c>
      <c r="F364" s="173"/>
      <c r="G364" s="173">
        <v>275</v>
      </c>
      <c r="H364" s="173"/>
    </row>
    <row r="365" spans="1:8" x14ac:dyDescent="0.2">
      <c r="A365" s="173">
        <v>364</v>
      </c>
      <c r="B365" s="173" t="s">
        <v>3135</v>
      </c>
      <c r="C365" s="173"/>
      <c r="D365" s="173"/>
      <c r="E365" s="173">
        <v>31</v>
      </c>
      <c r="F365" s="173"/>
      <c r="G365" s="173">
        <v>763</v>
      </c>
      <c r="H365" s="173"/>
    </row>
    <row r="366" spans="1:8" x14ac:dyDescent="0.2">
      <c r="A366" s="173">
        <v>365</v>
      </c>
      <c r="B366" s="173" t="s">
        <v>3199</v>
      </c>
      <c r="C366" s="173"/>
      <c r="D366" s="173"/>
      <c r="E366" s="173">
        <v>10</v>
      </c>
      <c r="F366" s="173"/>
      <c r="G366" s="173">
        <v>1733</v>
      </c>
      <c r="H366" s="173"/>
    </row>
    <row r="367" spans="1:8" x14ac:dyDescent="0.2">
      <c r="A367" s="173">
        <v>366</v>
      </c>
      <c r="B367" s="173" t="s">
        <v>1472</v>
      </c>
      <c r="C367" s="173" t="s">
        <v>2169</v>
      </c>
      <c r="D367" s="173"/>
      <c r="E367" s="173">
        <v>9</v>
      </c>
      <c r="F367" s="173">
        <v>295</v>
      </c>
      <c r="G367" s="173">
        <v>635</v>
      </c>
      <c r="H367" s="173"/>
    </row>
    <row r="368" spans="1:8" x14ac:dyDescent="0.2">
      <c r="A368" s="173">
        <v>367</v>
      </c>
      <c r="B368" s="173" t="s">
        <v>3202</v>
      </c>
      <c r="C368" s="175">
        <v>0.28000000000000003</v>
      </c>
      <c r="D368" s="175"/>
      <c r="E368" s="173">
        <v>6</v>
      </c>
      <c r="F368" s="173"/>
      <c r="G368" s="173">
        <v>1025</v>
      </c>
      <c r="H368" s="173"/>
    </row>
    <row r="369" spans="1:8" x14ac:dyDescent="0.2">
      <c r="A369" s="173">
        <v>368</v>
      </c>
      <c r="B369" s="173" t="s">
        <v>1488</v>
      </c>
      <c r="C369" s="173"/>
      <c r="D369" s="173"/>
      <c r="E369" s="173">
        <v>11</v>
      </c>
      <c r="F369" s="173">
        <v>288.5</v>
      </c>
      <c r="G369" s="173">
        <v>635</v>
      </c>
      <c r="H369" s="173"/>
    </row>
    <row r="370" spans="1:8" x14ac:dyDescent="0.2">
      <c r="A370" s="173">
        <v>369</v>
      </c>
      <c r="B370" s="173" t="s">
        <v>3590</v>
      </c>
      <c r="C370" s="173" t="s">
        <v>3830</v>
      </c>
      <c r="D370" s="173"/>
      <c r="E370" s="173">
        <v>11</v>
      </c>
      <c r="F370" s="173"/>
      <c r="G370" s="173">
        <v>720</v>
      </c>
      <c r="H370" s="173"/>
    </row>
    <row r="371" spans="1:8" x14ac:dyDescent="0.2">
      <c r="A371" s="173">
        <v>370</v>
      </c>
      <c r="B371" s="173" t="s">
        <v>1487</v>
      </c>
      <c r="C371" s="173"/>
      <c r="D371" s="173"/>
      <c r="E371" s="173">
        <v>11</v>
      </c>
      <c r="F371" s="173">
        <v>385</v>
      </c>
      <c r="G371" s="173" t="s">
        <v>3140</v>
      </c>
      <c r="H371" s="173"/>
    </row>
    <row r="372" spans="1:8" x14ac:dyDescent="0.2">
      <c r="A372" s="173">
        <v>371</v>
      </c>
      <c r="B372" s="173" t="s">
        <v>3904</v>
      </c>
      <c r="C372" s="173"/>
      <c r="D372" s="173"/>
      <c r="E372" s="173">
        <v>11</v>
      </c>
      <c r="F372" s="173"/>
      <c r="G372" s="173">
        <v>235</v>
      </c>
      <c r="H372" s="173"/>
    </row>
    <row r="373" spans="1:8" x14ac:dyDescent="0.2">
      <c r="A373" s="173">
        <v>372</v>
      </c>
      <c r="B373" s="173" t="s">
        <v>3905</v>
      </c>
      <c r="C373" s="173"/>
      <c r="D373" s="173"/>
      <c r="E373" s="173">
        <v>11</v>
      </c>
      <c r="F373" s="173"/>
      <c r="G373" s="173">
        <v>235</v>
      </c>
      <c r="H373" s="173"/>
    </row>
    <row r="374" spans="1:8" x14ac:dyDescent="0.2">
      <c r="A374" s="173">
        <v>373</v>
      </c>
      <c r="B374" s="173" t="s">
        <v>4191</v>
      </c>
      <c r="C374" s="173"/>
      <c r="D374" s="173"/>
      <c r="E374" s="173">
        <v>11</v>
      </c>
      <c r="F374" s="173"/>
      <c r="G374" s="173">
        <v>1094</v>
      </c>
      <c r="H374" s="173"/>
    </row>
    <row r="375" spans="1:8" x14ac:dyDescent="0.2">
      <c r="A375" s="173">
        <v>374</v>
      </c>
      <c r="B375" s="173" t="s">
        <v>4196</v>
      </c>
      <c r="C375" s="173"/>
      <c r="D375" s="173"/>
      <c r="E375" s="173">
        <v>11</v>
      </c>
      <c r="F375" s="173"/>
      <c r="G375" s="173">
        <v>208</v>
      </c>
      <c r="H375" s="173"/>
    </row>
    <row r="376" spans="1:8" x14ac:dyDescent="0.2">
      <c r="A376" s="173">
        <v>375</v>
      </c>
      <c r="B376" s="173" t="s">
        <v>4278</v>
      </c>
      <c r="C376" s="173"/>
      <c r="D376" s="173"/>
      <c r="E376" s="173">
        <v>11</v>
      </c>
      <c r="F376" s="173"/>
      <c r="G376" s="173">
        <v>419</v>
      </c>
      <c r="H376" s="173"/>
    </row>
    <row r="377" spans="1:8" x14ac:dyDescent="0.2">
      <c r="A377" s="173">
        <v>376</v>
      </c>
      <c r="B377" s="173" t="s">
        <v>4279</v>
      </c>
      <c r="C377" s="173"/>
      <c r="D377" s="173"/>
      <c r="E377" s="173">
        <v>11</v>
      </c>
      <c r="F377" s="173"/>
      <c r="G377" s="173">
        <v>419</v>
      </c>
      <c r="H377" s="173"/>
    </row>
    <row r="378" spans="1:8" x14ac:dyDescent="0.2">
      <c r="A378" s="173">
        <v>377</v>
      </c>
      <c r="B378" s="173" t="s">
        <v>4340</v>
      </c>
      <c r="C378" s="173"/>
      <c r="D378" s="173"/>
      <c r="E378" s="173">
        <v>11</v>
      </c>
      <c r="F378" s="173"/>
      <c r="G378" s="173">
        <v>185</v>
      </c>
      <c r="H378" s="173"/>
    </row>
    <row r="379" spans="1:8" x14ac:dyDescent="0.2">
      <c r="A379" s="173">
        <v>378</v>
      </c>
      <c r="B379" s="173" t="s">
        <v>4427</v>
      </c>
      <c r="C379" s="175"/>
      <c r="D379" s="175"/>
      <c r="E379" s="173">
        <v>11</v>
      </c>
      <c r="F379" s="173"/>
      <c r="G379" s="173">
        <v>442</v>
      </c>
      <c r="H379" s="173"/>
    </row>
    <row r="380" spans="1:8" x14ac:dyDescent="0.2">
      <c r="A380" s="173">
        <v>379</v>
      </c>
      <c r="B380" s="173" t="s">
        <v>3996</v>
      </c>
      <c r="C380" s="173"/>
      <c r="D380" s="173"/>
      <c r="E380" s="173">
        <v>11</v>
      </c>
      <c r="F380" s="173"/>
      <c r="G380" s="173">
        <v>833</v>
      </c>
      <c r="H380" s="173"/>
    </row>
    <row r="381" spans="1:8" x14ac:dyDescent="0.2">
      <c r="A381" s="173">
        <v>380</v>
      </c>
      <c r="B381" s="173" t="s">
        <v>1788</v>
      </c>
      <c r="C381" s="173"/>
      <c r="D381" s="173"/>
      <c r="E381" s="173">
        <v>31</v>
      </c>
      <c r="F381" s="173"/>
      <c r="G381" s="173">
        <v>293</v>
      </c>
      <c r="H381" s="173" t="s">
        <v>669</v>
      </c>
    </row>
    <row r="382" spans="1:8" x14ac:dyDescent="0.2">
      <c r="A382" s="173">
        <v>381</v>
      </c>
      <c r="B382" s="173" t="s">
        <v>1792</v>
      </c>
      <c r="C382" s="173"/>
      <c r="D382" s="173"/>
      <c r="E382" s="173">
        <v>11</v>
      </c>
      <c r="F382" s="173"/>
      <c r="G382" s="173">
        <v>374</v>
      </c>
      <c r="H382" s="173" t="s">
        <v>669</v>
      </c>
    </row>
    <row r="383" spans="1:8" x14ac:dyDescent="0.2">
      <c r="A383" s="173">
        <v>382</v>
      </c>
      <c r="B383" s="173" t="s">
        <v>1804</v>
      </c>
      <c r="C383" s="175">
        <v>0.28000000000000003</v>
      </c>
      <c r="D383" s="175"/>
      <c r="E383" s="173">
        <v>11</v>
      </c>
      <c r="F383" s="173"/>
      <c r="G383" s="173">
        <v>1225</v>
      </c>
      <c r="H383" s="173"/>
    </row>
    <row r="384" spans="1:8" x14ac:dyDescent="0.2">
      <c r="A384" s="173">
        <v>383</v>
      </c>
      <c r="B384" s="173" t="s">
        <v>3586</v>
      </c>
      <c r="C384" s="173"/>
      <c r="D384" s="173"/>
      <c r="E384" s="173">
        <v>11</v>
      </c>
      <c r="F384" s="173"/>
      <c r="G384" s="173">
        <v>1292</v>
      </c>
      <c r="H384" s="173"/>
    </row>
    <row r="385" spans="1:8" x14ac:dyDescent="0.2">
      <c r="A385" s="173">
        <v>384</v>
      </c>
      <c r="B385" s="173" t="s">
        <v>1451</v>
      </c>
      <c r="C385" s="173" t="s">
        <v>2148</v>
      </c>
      <c r="D385" s="173"/>
      <c r="E385" s="173">
        <v>0</v>
      </c>
      <c r="F385" s="173">
        <v>250</v>
      </c>
      <c r="G385" s="173">
        <f>F385*2</f>
        <v>500</v>
      </c>
      <c r="H385" s="173"/>
    </row>
    <row r="386" spans="1:8" x14ac:dyDescent="0.2">
      <c r="A386" s="173">
        <v>385</v>
      </c>
      <c r="B386" s="173" t="s">
        <v>4464</v>
      </c>
      <c r="C386" s="173"/>
      <c r="D386" s="173"/>
      <c r="E386" s="173">
        <v>11</v>
      </c>
      <c r="F386" s="173"/>
      <c r="G386" s="173">
        <v>428</v>
      </c>
      <c r="H386" s="173"/>
    </row>
    <row r="387" spans="1:8" x14ac:dyDescent="0.2">
      <c r="A387" s="173">
        <v>386</v>
      </c>
      <c r="B387" s="173" t="s">
        <v>4465</v>
      </c>
      <c r="C387" s="173"/>
      <c r="D387" s="173"/>
      <c r="E387" s="173">
        <v>11</v>
      </c>
      <c r="F387" s="173"/>
      <c r="G387" s="173">
        <v>680</v>
      </c>
      <c r="H387" s="173"/>
    </row>
    <row r="388" spans="1:8" x14ac:dyDescent="0.2">
      <c r="A388" s="173">
        <v>387</v>
      </c>
      <c r="B388" s="173" t="s">
        <v>4530</v>
      </c>
      <c r="C388" s="173"/>
      <c r="D388" s="173"/>
      <c r="E388" s="173">
        <v>12</v>
      </c>
      <c r="F388" s="173"/>
      <c r="G388" s="173">
        <v>959</v>
      </c>
      <c r="H388" s="173"/>
    </row>
    <row r="389" spans="1:8" x14ac:dyDescent="0.2">
      <c r="A389" s="173">
        <v>388</v>
      </c>
      <c r="B389" s="173" t="s">
        <v>3565</v>
      </c>
      <c r="C389" s="173"/>
      <c r="D389" s="173"/>
      <c r="E389" s="173">
        <v>12</v>
      </c>
      <c r="F389" s="173"/>
      <c r="G389" s="173">
        <v>730</v>
      </c>
      <c r="H389" s="173"/>
    </row>
    <row r="390" spans="1:8" x14ac:dyDescent="0.2">
      <c r="A390" s="173">
        <v>389</v>
      </c>
      <c r="B390" s="173" t="s">
        <v>1676</v>
      </c>
      <c r="C390" s="173"/>
      <c r="D390" s="173"/>
      <c r="E390" s="173">
        <v>12</v>
      </c>
      <c r="F390" s="173"/>
      <c r="G390" s="173">
        <v>599</v>
      </c>
      <c r="H390" s="173"/>
    </row>
    <row r="391" spans="1:8" x14ac:dyDescent="0.2">
      <c r="A391" s="173">
        <v>390</v>
      </c>
      <c r="B391" s="173" t="s">
        <v>4337</v>
      </c>
      <c r="C391" s="173"/>
      <c r="D391" s="173"/>
      <c r="E391" s="173">
        <v>12</v>
      </c>
      <c r="F391" s="173"/>
      <c r="G391" s="173">
        <v>1193</v>
      </c>
      <c r="H391" s="173"/>
    </row>
    <row r="392" spans="1:8" x14ac:dyDescent="0.2">
      <c r="A392" s="173">
        <v>391</v>
      </c>
      <c r="B392" s="173" t="s">
        <v>4391</v>
      </c>
      <c r="C392" s="175"/>
      <c r="D392" s="175"/>
      <c r="E392" s="173">
        <v>12</v>
      </c>
      <c r="F392" s="173"/>
      <c r="G392" s="173">
        <v>1550</v>
      </c>
      <c r="H392" s="173"/>
    </row>
    <row r="393" spans="1:8" x14ac:dyDescent="0.2">
      <c r="A393" s="173">
        <v>392</v>
      </c>
      <c r="B393" s="173" t="s">
        <v>2774</v>
      </c>
      <c r="C393" s="173"/>
      <c r="D393" s="173"/>
      <c r="E393" s="173">
        <v>12</v>
      </c>
      <c r="F393" s="173"/>
      <c r="G393" s="173">
        <v>599</v>
      </c>
      <c r="H393" s="173"/>
    </row>
    <row r="394" spans="1:8" x14ac:dyDescent="0.2">
      <c r="A394" s="173">
        <v>393</v>
      </c>
      <c r="B394" s="173" t="s">
        <v>3073</v>
      </c>
      <c r="C394" s="173"/>
      <c r="D394" s="173"/>
      <c r="E394" s="173">
        <v>12</v>
      </c>
      <c r="F394" s="173"/>
      <c r="G394" s="173">
        <v>1607</v>
      </c>
      <c r="H394" s="173"/>
    </row>
    <row r="395" spans="1:8" x14ac:dyDescent="0.2">
      <c r="A395" s="173">
        <v>394</v>
      </c>
      <c r="B395" s="173" t="s">
        <v>2776</v>
      </c>
      <c r="C395" s="173"/>
      <c r="D395" s="173"/>
      <c r="E395" s="173">
        <v>12</v>
      </c>
      <c r="F395" s="173"/>
      <c r="G395" s="173">
        <v>797</v>
      </c>
      <c r="H395" s="173"/>
    </row>
    <row r="396" spans="1:8" x14ac:dyDescent="0.2">
      <c r="A396" s="173">
        <v>395</v>
      </c>
      <c r="B396" s="173" t="s">
        <v>1561</v>
      </c>
      <c r="C396" s="173"/>
      <c r="D396" s="173"/>
      <c r="E396" s="173">
        <v>2</v>
      </c>
      <c r="F396" s="173">
        <v>160</v>
      </c>
      <c r="G396" s="173">
        <v>356</v>
      </c>
      <c r="H396" s="173"/>
    </row>
    <row r="397" spans="1:8" x14ac:dyDescent="0.2">
      <c r="A397" s="173">
        <v>396</v>
      </c>
      <c r="B397" s="173" t="s">
        <v>3726</v>
      </c>
      <c r="C397" s="173"/>
      <c r="D397" s="173"/>
      <c r="E397" s="173">
        <v>10</v>
      </c>
      <c r="F397" s="173"/>
      <c r="G397" s="173">
        <v>950</v>
      </c>
      <c r="H397" s="173"/>
    </row>
    <row r="398" spans="1:8" x14ac:dyDescent="0.2">
      <c r="A398" s="173">
        <v>397</v>
      </c>
      <c r="B398" s="173" t="s">
        <v>3826</v>
      </c>
      <c r="C398" s="175"/>
      <c r="D398" s="175"/>
      <c r="E398" s="173">
        <v>44</v>
      </c>
      <c r="F398" s="173"/>
      <c r="G398" s="173">
        <v>770</v>
      </c>
      <c r="H398" s="173"/>
    </row>
    <row r="399" spans="1:8" x14ac:dyDescent="0.2">
      <c r="A399" s="173">
        <v>398</v>
      </c>
      <c r="B399" s="173" t="s">
        <v>1678</v>
      </c>
      <c r="C399" s="173"/>
      <c r="D399" s="173"/>
      <c r="E399" s="173">
        <v>12</v>
      </c>
      <c r="F399" s="173"/>
      <c r="G399" s="173">
        <v>95</v>
      </c>
      <c r="H399" s="173"/>
    </row>
    <row r="400" spans="1:8" x14ac:dyDescent="0.2">
      <c r="A400" s="173">
        <v>399</v>
      </c>
      <c r="B400" s="173" t="s">
        <v>1576</v>
      </c>
      <c r="C400" s="173"/>
      <c r="D400" s="173"/>
      <c r="E400" s="173">
        <v>12</v>
      </c>
      <c r="F400" s="173">
        <v>110.5</v>
      </c>
      <c r="G400" s="173">
        <v>235</v>
      </c>
      <c r="H400" s="173"/>
    </row>
    <row r="401" spans="1:8" x14ac:dyDescent="0.2">
      <c r="A401" s="173">
        <v>400</v>
      </c>
      <c r="B401" s="173" t="s">
        <v>3589</v>
      </c>
      <c r="C401" s="173"/>
      <c r="D401" s="173"/>
      <c r="E401" s="173">
        <v>12</v>
      </c>
      <c r="F401" s="173"/>
      <c r="G401" s="173">
        <v>563</v>
      </c>
      <c r="H401" s="173"/>
    </row>
    <row r="402" spans="1:8" x14ac:dyDescent="0.2">
      <c r="A402" s="173">
        <v>401</v>
      </c>
      <c r="B402" s="173" t="s">
        <v>3341</v>
      </c>
      <c r="C402" s="173"/>
      <c r="D402" s="173"/>
      <c r="E402" s="173">
        <v>12</v>
      </c>
      <c r="F402" s="173"/>
      <c r="G402" s="173">
        <v>644</v>
      </c>
      <c r="H402" s="173"/>
    </row>
    <row r="403" spans="1:8" x14ac:dyDescent="0.2">
      <c r="A403" s="173">
        <v>402</v>
      </c>
      <c r="B403" s="173" t="s">
        <v>1489</v>
      </c>
      <c r="C403" s="173"/>
      <c r="D403" s="173"/>
      <c r="E403" s="173">
        <v>12</v>
      </c>
      <c r="F403" s="173">
        <v>362.5</v>
      </c>
      <c r="G403" s="173">
        <v>799</v>
      </c>
      <c r="H403" s="173"/>
    </row>
    <row r="404" spans="1:8" x14ac:dyDescent="0.2">
      <c r="A404" s="173">
        <v>403</v>
      </c>
      <c r="B404" s="173" t="s">
        <v>4605</v>
      </c>
      <c r="C404" s="173"/>
      <c r="D404" s="173"/>
      <c r="E404" s="173">
        <v>12</v>
      </c>
      <c r="F404" s="173"/>
      <c r="G404" s="173">
        <v>698</v>
      </c>
      <c r="H404" s="173"/>
    </row>
    <row r="405" spans="1:8" x14ac:dyDescent="0.2">
      <c r="A405" s="173">
        <v>404</v>
      </c>
      <c r="B405" s="173" t="s">
        <v>4608</v>
      </c>
      <c r="C405" s="173"/>
      <c r="D405" s="173"/>
      <c r="E405" s="173">
        <v>12</v>
      </c>
      <c r="F405" s="173"/>
      <c r="G405" s="173">
        <v>590</v>
      </c>
      <c r="H405" s="173"/>
    </row>
    <row r="406" spans="1:8" x14ac:dyDescent="0.2">
      <c r="A406" s="173">
        <v>405</v>
      </c>
      <c r="B406" s="173" t="s">
        <v>1689</v>
      </c>
      <c r="C406" s="173"/>
      <c r="D406" s="173"/>
      <c r="E406" s="173">
        <v>13</v>
      </c>
      <c r="F406" s="173"/>
      <c r="G406" s="173">
        <v>1920</v>
      </c>
      <c r="H406" s="173"/>
    </row>
    <row r="407" spans="1:8" x14ac:dyDescent="0.2">
      <c r="A407" s="173">
        <v>406</v>
      </c>
      <c r="B407" s="173" t="s">
        <v>3561</v>
      </c>
      <c r="C407" s="173"/>
      <c r="D407" s="173"/>
      <c r="E407" s="173">
        <v>13</v>
      </c>
      <c r="F407" s="173"/>
      <c r="G407" s="173">
        <v>1265</v>
      </c>
      <c r="H407" s="173"/>
    </row>
    <row r="408" spans="1:8" x14ac:dyDescent="0.2">
      <c r="A408" s="173">
        <v>407</v>
      </c>
      <c r="B408" s="173" t="s">
        <v>2771</v>
      </c>
      <c r="C408" s="173"/>
      <c r="D408" s="173"/>
      <c r="E408" s="173">
        <v>13</v>
      </c>
      <c r="F408" s="173"/>
      <c r="G408" s="173">
        <v>842</v>
      </c>
      <c r="H408" s="173"/>
    </row>
    <row r="409" spans="1:8" x14ac:dyDescent="0.2">
      <c r="A409" s="173">
        <v>408</v>
      </c>
      <c r="B409" s="173" t="s">
        <v>3342</v>
      </c>
      <c r="C409" s="173"/>
      <c r="D409" s="173"/>
      <c r="E409" s="173">
        <v>13</v>
      </c>
      <c r="F409" s="173"/>
      <c r="G409" s="173">
        <v>730</v>
      </c>
      <c r="H409" s="173"/>
    </row>
    <row r="410" spans="1:8" x14ac:dyDescent="0.2">
      <c r="A410" s="173">
        <v>409</v>
      </c>
      <c r="B410" s="173" t="s">
        <v>1466</v>
      </c>
      <c r="C410" s="174" t="s">
        <v>2159</v>
      </c>
      <c r="D410" s="174"/>
      <c r="E410" s="173">
        <v>13</v>
      </c>
      <c r="F410" s="173">
        <v>380.5</v>
      </c>
      <c r="G410" s="173">
        <v>842</v>
      </c>
      <c r="H410" s="173"/>
    </row>
    <row r="411" spans="1:8" x14ac:dyDescent="0.2">
      <c r="A411" s="173">
        <v>410</v>
      </c>
      <c r="B411" s="173" t="s">
        <v>1617</v>
      </c>
      <c r="C411" s="173"/>
      <c r="D411" s="173"/>
      <c r="E411" s="173">
        <v>13</v>
      </c>
      <c r="F411" s="173"/>
      <c r="G411" s="173" t="s">
        <v>3344</v>
      </c>
      <c r="H411" s="173"/>
    </row>
    <row r="412" spans="1:8" x14ac:dyDescent="0.2">
      <c r="A412" s="173">
        <v>411</v>
      </c>
      <c r="B412" s="173" t="s">
        <v>3770</v>
      </c>
      <c r="C412" s="173"/>
      <c r="D412" s="173"/>
      <c r="E412" s="173">
        <v>13</v>
      </c>
      <c r="F412" s="173"/>
      <c r="G412" s="173">
        <v>785</v>
      </c>
      <c r="H412" s="173"/>
    </row>
    <row r="413" spans="1:8" x14ac:dyDescent="0.2">
      <c r="A413" s="173">
        <v>412</v>
      </c>
      <c r="B413" s="173" t="s">
        <v>3620</v>
      </c>
      <c r="C413" s="173"/>
      <c r="D413" s="173"/>
      <c r="E413" s="173">
        <v>13</v>
      </c>
      <c r="F413" s="173"/>
      <c r="G413" s="173">
        <v>716</v>
      </c>
      <c r="H413" s="173"/>
    </row>
    <row r="414" spans="1:8" x14ac:dyDescent="0.2">
      <c r="A414" s="173">
        <v>413</v>
      </c>
      <c r="B414" s="173" t="s">
        <v>4284</v>
      </c>
      <c r="C414" s="173"/>
      <c r="D414" s="173"/>
      <c r="E414" s="173">
        <v>13</v>
      </c>
      <c r="F414" s="173"/>
      <c r="G414" s="173">
        <v>711</v>
      </c>
      <c r="H414" s="173"/>
    </row>
    <row r="415" spans="1:8" x14ac:dyDescent="0.2">
      <c r="A415" s="173">
        <v>414</v>
      </c>
      <c r="B415" s="173" t="s">
        <v>4286</v>
      </c>
      <c r="C415" s="173"/>
      <c r="D415" s="173"/>
      <c r="E415" s="173">
        <v>13</v>
      </c>
      <c r="F415" s="173"/>
      <c r="G415" s="173">
        <v>241</v>
      </c>
      <c r="H415" s="173"/>
    </row>
    <row r="416" spans="1:8" x14ac:dyDescent="0.2">
      <c r="A416" s="173">
        <v>415</v>
      </c>
      <c r="B416" s="173" t="s">
        <v>2257</v>
      </c>
      <c r="C416" s="173"/>
      <c r="D416" s="173"/>
      <c r="E416" s="173">
        <v>13</v>
      </c>
      <c r="F416" s="173"/>
      <c r="G416" s="173">
        <v>338</v>
      </c>
      <c r="H416" s="173"/>
    </row>
    <row r="417" spans="1:8" x14ac:dyDescent="0.2">
      <c r="A417" s="173">
        <v>416</v>
      </c>
      <c r="B417" s="173" t="s">
        <v>1500</v>
      </c>
      <c r="C417" s="173"/>
      <c r="D417" s="173"/>
      <c r="E417" s="173">
        <v>13</v>
      </c>
      <c r="F417" s="173">
        <v>371.5</v>
      </c>
      <c r="G417" s="173">
        <v>799</v>
      </c>
      <c r="H417" s="173"/>
    </row>
    <row r="418" spans="1:8" x14ac:dyDescent="0.2">
      <c r="A418" s="173">
        <v>417</v>
      </c>
      <c r="B418" s="173" t="s">
        <v>1562</v>
      </c>
      <c r="C418" s="173" t="s">
        <v>3741</v>
      </c>
      <c r="D418" s="173"/>
      <c r="E418" s="173">
        <v>13</v>
      </c>
      <c r="F418" s="173">
        <v>220.5</v>
      </c>
      <c r="G418" s="173" t="s">
        <v>3742</v>
      </c>
      <c r="H418" s="173"/>
    </row>
    <row r="419" spans="1:8" x14ac:dyDescent="0.2">
      <c r="A419" s="173">
        <v>418</v>
      </c>
      <c r="B419" s="173" t="s">
        <v>4192</v>
      </c>
      <c r="C419" s="173"/>
      <c r="D419" s="173"/>
      <c r="E419" s="173">
        <v>13</v>
      </c>
      <c r="F419" s="173"/>
      <c r="G419" s="173">
        <v>374</v>
      </c>
      <c r="H419" s="173"/>
    </row>
    <row r="420" spans="1:8" x14ac:dyDescent="0.2">
      <c r="A420" s="173">
        <v>419</v>
      </c>
      <c r="B420" s="173" t="s">
        <v>3536</v>
      </c>
      <c r="C420" s="173"/>
      <c r="D420" s="173"/>
      <c r="E420" s="173">
        <v>11</v>
      </c>
      <c r="F420" s="173"/>
      <c r="G420" s="173">
        <v>455</v>
      </c>
      <c r="H420" s="173"/>
    </row>
    <row r="421" spans="1:8" x14ac:dyDescent="0.2">
      <c r="A421" s="173">
        <v>420</v>
      </c>
      <c r="B421" s="173" t="s">
        <v>2847</v>
      </c>
      <c r="C421" s="173"/>
      <c r="D421" s="173"/>
      <c r="E421" s="173">
        <v>13</v>
      </c>
      <c r="F421" s="173"/>
      <c r="G421" s="173">
        <v>932</v>
      </c>
      <c r="H421" s="173"/>
    </row>
    <row r="422" spans="1:8" x14ac:dyDescent="0.2">
      <c r="A422" s="173">
        <v>421</v>
      </c>
      <c r="B422" s="173" t="s">
        <v>2258</v>
      </c>
      <c r="C422" s="173"/>
      <c r="D422" s="173"/>
      <c r="E422" s="173">
        <v>4</v>
      </c>
      <c r="F422" s="173"/>
      <c r="G422" s="173">
        <v>270</v>
      </c>
      <c r="H422" s="173"/>
    </row>
    <row r="423" spans="1:8" x14ac:dyDescent="0.2">
      <c r="A423" s="173">
        <v>422</v>
      </c>
      <c r="B423" s="173" t="s">
        <v>3331</v>
      </c>
      <c r="C423" s="173"/>
      <c r="D423" s="173"/>
      <c r="E423" s="173">
        <v>11</v>
      </c>
      <c r="F423" s="173"/>
      <c r="G423" s="173">
        <v>999</v>
      </c>
      <c r="H423" s="173"/>
    </row>
    <row r="424" spans="1:8" x14ac:dyDescent="0.2">
      <c r="A424" s="173">
        <v>423</v>
      </c>
      <c r="B424" s="173" t="s">
        <v>1794</v>
      </c>
      <c r="C424" s="173"/>
      <c r="D424" s="173"/>
      <c r="E424" s="173">
        <v>14</v>
      </c>
      <c r="F424" s="173"/>
      <c r="G424" s="173">
        <v>375</v>
      </c>
      <c r="H424" s="173"/>
    </row>
    <row r="425" spans="1:8" x14ac:dyDescent="0.2">
      <c r="A425" s="173">
        <v>424</v>
      </c>
      <c r="B425" s="173" t="s">
        <v>3390</v>
      </c>
      <c r="C425" s="173"/>
      <c r="D425" s="173"/>
      <c r="E425" s="173">
        <v>14</v>
      </c>
      <c r="F425" s="173"/>
      <c r="G425" s="173">
        <v>1970</v>
      </c>
      <c r="H425" s="173"/>
    </row>
    <row r="426" spans="1:8" x14ac:dyDescent="0.2">
      <c r="A426" s="173">
        <v>425</v>
      </c>
      <c r="B426" s="173" t="s">
        <v>4287</v>
      </c>
      <c r="C426" s="173"/>
      <c r="D426" s="173"/>
      <c r="E426" s="173">
        <v>14</v>
      </c>
      <c r="F426" s="173"/>
      <c r="G426" s="173">
        <v>491</v>
      </c>
      <c r="H426" s="173"/>
    </row>
    <row r="427" spans="1:8" x14ac:dyDescent="0.2">
      <c r="A427" s="173">
        <v>426</v>
      </c>
      <c r="B427" s="173" t="s">
        <v>1567</v>
      </c>
      <c r="C427" s="173"/>
      <c r="D427" s="173"/>
      <c r="E427" s="173">
        <v>14</v>
      </c>
      <c r="F427" s="173">
        <v>201.5</v>
      </c>
      <c r="G427" s="173" t="s">
        <v>3997</v>
      </c>
      <c r="H427" s="173"/>
    </row>
    <row r="428" spans="1:8" x14ac:dyDescent="0.2">
      <c r="A428" s="173">
        <v>427</v>
      </c>
      <c r="B428" s="173" t="s">
        <v>1551</v>
      </c>
      <c r="C428" s="173"/>
      <c r="D428" s="173"/>
      <c r="E428" s="173">
        <v>14</v>
      </c>
      <c r="F428" s="173">
        <v>36</v>
      </c>
      <c r="G428" s="173">
        <f>F428*2</f>
        <v>72</v>
      </c>
      <c r="H428" s="173" t="s">
        <v>2370</v>
      </c>
    </row>
    <row r="429" spans="1:8" x14ac:dyDescent="0.2">
      <c r="A429" s="173">
        <v>428</v>
      </c>
      <c r="B429" s="173" t="s">
        <v>3685</v>
      </c>
      <c r="C429" s="173"/>
      <c r="D429" s="173"/>
      <c r="E429" s="173">
        <v>14</v>
      </c>
      <c r="F429" s="173"/>
      <c r="G429" s="173">
        <v>280</v>
      </c>
      <c r="H429" s="173"/>
    </row>
    <row r="430" spans="1:8" x14ac:dyDescent="0.2">
      <c r="A430" s="173">
        <v>429</v>
      </c>
      <c r="B430" s="173" t="s">
        <v>3070</v>
      </c>
      <c r="C430" s="175">
        <v>0.28000000000000003</v>
      </c>
      <c r="D430" s="175"/>
      <c r="E430" s="173">
        <v>14</v>
      </c>
      <c r="F430" s="173"/>
      <c r="G430" s="173">
        <v>1495</v>
      </c>
      <c r="H430" s="173"/>
    </row>
    <row r="431" spans="1:8" x14ac:dyDescent="0.2">
      <c r="A431" s="173">
        <v>430</v>
      </c>
      <c r="B431" s="173" t="s">
        <v>3631</v>
      </c>
      <c r="C431" s="173"/>
      <c r="D431" s="173"/>
      <c r="E431" s="173">
        <v>14</v>
      </c>
      <c r="F431" s="173"/>
      <c r="G431" s="173">
        <v>473</v>
      </c>
      <c r="H431" s="173"/>
    </row>
    <row r="432" spans="1:8" x14ac:dyDescent="0.2">
      <c r="A432" s="173">
        <v>431</v>
      </c>
      <c r="B432" s="173" t="s">
        <v>3991</v>
      </c>
      <c r="C432" s="173"/>
      <c r="D432" s="173"/>
      <c r="E432" s="173">
        <v>14</v>
      </c>
      <c r="F432" s="173"/>
      <c r="G432" s="173">
        <v>860</v>
      </c>
      <c r="H432" s="173"/>
    </row>
    <row r="433" spans="1:8" x14ac:dyDescent="0.2">
      <c r="A433" s="173">
        <v>432</v>
      </c>
      <c r="B433" s="173" t="s">
        <v>3898</v>
      </c>
      <c r="C433" s="173"/>
      <c r="D433" s="173"/>
      <c r="E433" s="173">
        <v>14</v>
      </c>
      <c r="F433" s="173"/>
      <c r="G433" s="173">
        <v>849</v>
      </c>
      <c r="H433" s="173"/>
    </row>
    <row r="434" spans="1:8" x14ac:dyDescent="0.2">
      <c r="A434" s="173">
        <v>433</v>
      </c>
      <c r="B434" s="173" t="s">
        <v>3201</v>
      </c>
      <c r="C434" s="173"/>
      <c r="D434" s="173"/>
      <c r="E434" s="173">
        <v>14</v>
      </c>
      <c r="F434" s="173"/>
      <c r="G434" s="173">
        <v>850</v>
      </c>
      <c r="H434" s="173"/>
    </row>
    <row r="435" spans="1:8" x14ac:dyDescent="0.2">
      <c r="A435" s="173">
        <v>434</v>
      </c>
      <c r="B435" s="173" t="s">
        <v>3017</v>
      </c>
      <c r="C435" s="173" t="s">
        <v>3513</v>
      </c>
      <c r="D435" s="173"/>
      <c r="E435" s="173">
        <v>13</v>
      </c>
      <c r="F435" s="173"/>
      <c r="G435" s="173">
        <v>2570</v>
      </c>
      <c r="H435" s="173"/>
    </row>
    <row r="436" spans="1:8" x14ac:dyDescent="0.2">
      <c r="A436" s="173">
        <v>435</v>
      </c>
      <c r="B436" s="173" t="s">
        <v>3658</v>
      </c>
      <c r="C436" s="173"/>
      <c r="D436" s="173"/>
      <c r="E436" s="173">
        <v>15</v>
      </c>
      <c r="F436" s="173"/>
      <c r="G436" s="173">
        <v>1580</v>
      </c>
      <c r="H436" s="173"/>
    </row>
    <row r="437" spans="1:8" x14ac:dyDescent="0.2">
      <c r="A437" s="173">
        <v>436</v>
      </c>
      <c r="B437" s="173" t="s">
        <v>1495</v>
      </c>
      <c r="C437" s="173"/>
      <c r="D437" s="173"/>
      <c r="E437" s="173">
        <v>13</v>
      </c>
      <c r="F437" s="173">
        <v>340</v>
      </c>
      <c r="G437" s="173">
        <v>757</v>
      </c>
      <c r="H437" s="173"/>
    </row>
    <row r="438" spans="1:8" x14ac:dyDescent="0.2">
      <c r="A438" s="173">
        <v>437</v>
      </c>
      <c r="B438" s="173" t="s">
        <v>1481</v>
      </c>
      <c r="C438" s="173"/>
      <c r="D438" s="173"/>
      <c r="E438" s="173">
        <v>15</v>
      </c>
      <c r="F438" s="173">
        <v>88</v>
      </c>
      <c r="G438" s="173">
        <v>194</v>
      </c>
      <c r="H438" s="173" t="s">
        <v>669</v>
      </c>
    </row>
    <row r="439" spans="1:8" x14ac:dyDescent="0.2">
      <c r="A439" s="173">
        <v>438</v>
      </c>
      <c r="B439" s="173" t="s">
        <v>3065</v>
      </c>
      <c r="C439" s="173"/>
      <c r="D439" s="173"/>
      <c r="E439" s="173">
        <v>15</v>
      </c>
      <c r="F439" s="173"/>
      <c r="G439" s="173">
        <v>1085</v>
      </c>
      <c r="H439" s="173"/>
    </row>
    <row r="440" spans="1:8" x14ac:dyDescent="0.2">
      <c r="A440" s="173">
        <v>439</v>
      </c>
      <c r="B440" s="173" t="s">
        <v>1624</v>
      </c>
      <c r="C440" s="173"/>
      <c r="D440" s="173"/>
      <c r="E440" s="173">
        <v>15</v>
      </c>
      <c r="F440" s="173"/>
      <c r="G440" s="173">
        <v>320</v>
      </c>
      <c r="H440" s="173"/>
    </row>
    <row r="441" spans="1:8" x14ac:dyDescent="0.2">
      <c r="A441" s="173">
        <v>440</v>
      </c>
      <c r="B441" s="173" t="s">
        <v>1568</v>
      </c>
      <c r="C441" s="173"/>
      <c r="D441" s="173"/>
      <c r="E441" s="173">
        <v>15</v>
      </c>
      <c r="F441" s="173">
        <v>212.5</v>
      </c>
      <c r="G441" s="173">
        <v>455</v>
      </c>
      <c r="H441" s="173"/>
    </row>
    <row r="442" spans="1:8" x14ac:dyDescent="0.2">
      <c r="A442" s="173">
        <v>441</v>
      </c>
      <c r="B442" s="173" t="s">
        <v>3906</v>
      </c>
      <c r="C442" s="173"/>
      <c r="D442" s="173"/>
      <c r="E442" s="173">
        <v>15</v>
      </c>
      <c r="F442" s="173"/>
      <c r="G442" s="173">
        <v>119</v>
      </c>
      <c r="H442" s="173"/>
    </row>
    <row r="443" spans="1:8" x14ac:dyDescent="0.2">
      <c r="A443" s="173">
        <v>442</v>
      </c>
      <c r="B443" s="173" t="s">
        <v>3819</v>
      </c>
      <c r="C443" s="175"/>
      <c r="D443" s="175"/>
      <c r="E443" s="173">
        <v>13</v>
      </c>
      <c r="F443" s="173"/>
      <c r="G443" s="173">
        <v>353</v>
      </c>
      <c r="H443" s="173"/>
    </row>
    <row r="444" spans="1:8" x14ac:dyDescent="0.2">
      <c r="A444" s="173">
        <v>443</v>
      </c>
      <c r="B444" s="173" t="s">
        <v>1477</v>
      </c>
      <c r="C444" s="173" t="s">
        <v>3122</v>
      </c>
      <c r="D444" s="173"/>
      <c r="E444" s="173">
        <v>16</v>
      </c>
      <c r="F444" s="173">
        <v>306.5</v>
      </c>
      <c r="G444" s="173">
        <f>F444*2</f>
        <v>613</v>
      </c>
      <c r="H444" s="173"/>
    </row>
    <row r="445" spans="1:8" x14ac:dyDescent="0.2">
      <c r="A445" s="173">
        <v>444</v>
      </c>
      <c r="B445" s="173" t="s">
        <v>3684</v>
      </c>
      <c r="C445" s="173"/>
      <c r="D445" s="173"/>
      <c r="E445" s="173">
        <v>16</v>
      </c>
      <c r="F445" s="173"/>
      <c r="G445" s="173">
        <v>280</v>
      </c>
      <c r="H445" s="173"/>
    </row>
    <row r="446" spans="1:8" x14ac:dyDescent="0.2">
      <c r="A446" s="173">
        <v>445</v>
      </c>
      <c r="B446" s="173" t="s">
        <v>1679</v>
      </c>
      <c r="C446" s="173"/>
      <c r="D446" s="173"/>
      <c r="E446" s="173">
        <v>16</v>
      </c>
      <c r="F446" s="173"/>
      <c r="G446" s="173">
        <v>106</v>
      </c>
      <c r="H446" s="173"/>
    </row>
    <row r="447" spans="1:8" x14ac:dyDescent="0.2">
      <c r="A447" s="173">
        <v>446</v>
      </c>
      <c r="B447" s="173" t="s">
        <v>2768</v>
      </c>
      <c r="C447" s="173"/>
      <c r="D447" s="173"/>
      <c r="E447" s="173">
        <v>10</v>
      </c>
      <c r="F447" s="173"/>
      <c r="G447" s="173">
        <v>194</v>
      </c>
      <c r="H447" s="173"/>
    </row>
    <row r="448" spans="1:8" x14ac:dyDescent="0.2">
      <c r="A448" s="173">
        <v>447</v>
      </c>
      <c r="B448" s="173" t="s">
        <v>3295</v>
      </c>
      <c r="C448" s="173"/>
      <c r="D448" s="173"/>
      <c r="E448" s="173">
        <v>16</v>
      </c>
      <c r="F448" s="173"/>
      <c r="G448" s="173">
        <v>662</v>
      </c>
      <c r="H448" s="173"/>
    </row>
    <row r="449" spans="1:8" x14ac:dyDescent="0.2">
      <c r="A449" s="173">
        <v>448</v>
      </c>
      <c r="B449" s="173" t="s">
        <v>1618</v>
      </c>
      <c r="C449" s="173"/>
      <c r="D449" s="173"/>
      <c r="E449" s="173">
        <v>16</v>
      </c>
      <c r="F449" s="173"/>
      <c r="G449" s="173">
        <v>563</v>
      </c>
      <c r="H449" s="173"/>
    </row>
    <row r="450" spans="1:8" x14ac:dyDescent="0.2">
      <c r="A450" s="173">
        <v>449</v>
      </c>
      <c r="B450" s="173" t="s">
        <v>4604</v>
      </c>
      <c r="C450" s="173"/>
      <c r="D450" s="173"/>
      <c r="E450" s="173">
        <v>16</v>
      </c>
      <c r="F450" s="173"/>
      <c r="G450" s="173">
        <v>914</v>
      </c>
      <c r="H450" s="173"/>
    </row>
    <row r="451" spans="1:8" x14ac:dyDescent="0.2">
      <c r="A451" s="173">
        <v>450</v>
      </c>
      <c r="B451" s="173" t="s">
        <v>1785</v>
      </c>
      <c r="C451" s="173"/>
      <c r="D451" s="173"/>
      <c r="E451" s="173">
        <v>17</v>
      </c>
      <c r="F451" s="173"/>
      <c r="G451" s="173">
        <v>923</v>
      </c>
      <c r="H451" s="173"/>
    </row>
    <row r="452" spans="1:8" x14ac:dyDescent="0.2">
      <c r="A452" s="173">
        <v>451</v>
      </c>
      <c r="B452" s="173" t="s">
        <v>1518</v>
      </c>
      <c r="C452" s="173"/>
      <c r="D452" s="173"/>
      <c r="E452" s="173">
        <v>17</v>
      </c>
      <c r="F452" s="173"/>
      <c r="G452" s="173">
        <v>356</v>
      </c>
      <c r="H452" s="173"/>
    </row>
    <row r="453" spans="1:8" x14ac:dyDescent="0.2">
      <c r="A453" s="173">
        <v>452</v>
      </c>
      <c r="B453" s="173" t="s">
        <v>3019</v>
      </c>
      <c r="C453" s="173"/>
      <c r="D453" s="173"/>
      <c r="E453" s="173">
        <v>17</v>
      </c>
      <c r="F453" s="173"/>
      <c r="G453" s="173">
        <v>554</v>
      </c>
      <c r="H453" s="173"/>
    </row>
    <row r="454" spans="1:8" x14ac:dyDescent="0.2">
      <c r="A454" s="173">
        <v>453</v>
      </c>
      <c r="B454" s="173" t="s">
        <v>1470</v>
      </c>
      <c r="C454" s="173" t="s">
        <v>2167</v>
      </c>
      <c r="D454" s="173"/>
      <c r="E454" s="173">
        <v>17</v>
      </c>
      <c r="F454" s="173">
        <v>162.5</v>
      </c>
      <c r="G454" s="173" t="s">
        <v>3134</v>
      </c>
      <c r="H454" s="173"/>
    </row>
    <row r="455" spans="1:8" x14ac:dyDescent="0.2">
      <c r="A455" s="173">
        <v>454</v>
      </c>
      <c r="B455" s="173" t="s">
        <v>3989</v>
      </c>
      <c r="C455" s="173"/>
      <c r="D455" s="173"/>
      <c r="E455" s="173">
        <v>19</v>
      </c>
      <c r="F455" s="173"/>
      <c r="G455" s="173">
        <v>1697</v>
      </c>
      <c r="H455" s="173"/>
    </row>
    <row r="456" spans="1:8" x14ac:dyDescent="0.2">
      <c r="A456" s="173">
        <v>455</v>
      </c>
      <c r="B456" s="173" t="s">
        <v>3629</v>
      </c>
      <c r="C456" s="173"/>
      <c r="D456" s="173"/>
      <c r="E456" s="173">
        <v>17</v>
      </c>
      <c r="F456" s="173"/>
      <c r="G456" s="173">
        <v>896</v>
      </c>
      <c r="H456" s="173"/>
    </row>
    <row r="457" spans="1:8" x14ac:dyDescent="0.2">
      <c r="A457" s="173">
        <v>456</v>
      </c>
      <c r="B457" s="173" t="s">
        <v>1793</v>
      </c>
      <c r="C457" s="173"/>
      <c r="D457" s="173"/>
      <c r="E457" s="173">
        <v>17</v>
      </c>
      <c r="F457" s="173"/>
      <c r="G457" s="173">
        <v>482</v>
      </c>
      <c r="H457" s="173" t="s">
        <v>669</v>
      </c>
    </row>
    <row r="458" spans="1:8" x14ac:dyDescent="0.2">
      <c r="A458" s="173">
        <v>457</v>
      </c>
      <c r="B458" s="173" t="s">
        <v>1542</v>
      </c>
      <c r="C458" s="173"/>
      <c r="D458" s="173"/>
      <c r="E458" s="173">
        <v>17</v>
      </c>
      <c r="F458" s="173">
        <v>225</v>
      </c>
      <c r="G458" s="173" t="s">
        <v>3995</v>
      </c>
      <c r="H458" s="173"/>
    </row>
    <row r="459" spans="1:8" x14ac:dyDescent="0.2">
      <c r="A459" s="173">
        <v>458</v>
      </c>
      <c r="B459" s="173" t="s">
        <v>1564</v>
      </c>
      <c r="C459" s="173"/>
      <c r="D459" s="173"/>
      <c r="E459" s="173">
        <v>17</v>
      </c>
      <c r="F459" s="173">
        <v>164.5</v>
      </c>
      <c r="G459" s="173">
        <v>356</v>
      </c>
      <c r="H459" s="173"/>
    </row>
    <row r="460" spans="1:8" x14ac:dyDescent="0.2">
      <c r="A460" s="173">
        <v>459</v>
      </c>
      <c r="B460" s="173" t="s">
        <v>1509</v>
      </c>
      <c r="C460" s="173"/>
      <c r="D460" s="173"/>
      <c r="E460" s="173">
        <v>17</v>
      </c>
      <c r="F460" s="173"/>
      <c r="G460" s="173" t="s">
        <v>3231</v>
      </c>
      <c r="H460" s="173"/>
    </row>
    <row r="461" spans="1:8" x14ac:dyDescent="0.2">
      <c r="A461" s="173">
        <v>460</v>
      </c>
      <c r="B461" s="173" t="s">
        <v>1608</v>
      </c>
      <c r="C461" s="175">
        <v>0.28000000000000003</v>
      </c>
      <c r="D461" s="175"/>
      <c r="E461" s="173">
        <v>14</v>
      </c>
      <c r="F461" s="173"/>
      <c r="G461" s="173">
        <v>995</v>
      </c>
      <c r="H461" s="173"/>
    </row>
    <row r="462" spans="1:8" x14ac:dyDescent="0.2">
      <c r="A462" s="173">
        <v>461</v>
      </c>
      <c r="B462" s="173" t="s">
        <v>1458</v>
      </c>
      <c r="C462" s="173" t="s">
        <v>2161</v>
      </c>
      <c r="D462" s="173"/>
      <c r="E462" s="173">
        <v>18</v>
      </c>
      <c r="F462" s="173">
        <v>457</v>
      </c>
      <c r="G462" s="173" t="s">
        <v>3020</v>
      </c>
      <c r="H462" s="173"/>
    </row>
    <row r="463" spans="1:8" x14ac:dyDescent="0.2">
      <c r="A463" s="173">
        <v>462</v>
      </c>
      <c r="B463" s="173" t="s">
        <v>3137</v>
      </c>
      <c r="C463" s="173"/>
      <c r="D463" s="173"/>
      <c r="E463" s="173">
        <v>18</v>
      </c>
      <c r="F463" s="173"/>
      <c r="G463" s="173">
        <v>743</v>
      </c>
      <c r="H463" s="173"/>
    </row>
    <row r="464" spans="1:8" x14ac:dyDescent="0.2">
      <c r="A464" s="173">
        <v>463</v>
      </c>
      <c r="B464" s="173" t="s">
        <v>2256</v>
      </c>
      <c r="C464" s="175">
        <v>0.28000000000000003</v>
      </c>
      <c r="D464" s="175"/>
      <c r="E464" s="173">
        <v>36</v>
      </c>
      <c r="F464" s="173"/>
      <c r="G464" s="173">
        <v>433</v>
      </c>
      <c r="H464" s="173"/>
    </row>
    <row r="465" spans="1:8" x14ac:dyDescent="0.2">
      <c r="A465" s="173">
        <v>464</v>
      </c>
      <c r="B465" s="173" t="s">
        <v>1687</v>
      </c>
      <c r="C465" s="173"/>
      <c r="D465" s="173"/>
      <c r="E465" s="173">
        <v>18</v>
      </c>
      <c r="F465" s="173"/>
      <c r="G465" s="173" t="s">
        <v>2778</v>
      </c>
      <c r="H465" s="173"/>
    </row>
    <row r="466" spans="1:8" x14ac:dyDescent="0.2">
      <c r="A466" s="173">
        <v>465</v>
      </c>
      <c r="B466" s="173" t="s">
        <v>1789</v>
      </c>
      <c r="C466" s="173"/>
      <c r="D466" s="173"/>
      <c r="E466" s="173">
        <v>18</v>
      </c>
      <c r="F466" s="173"/>
      <c r="G466" s="173" t="s">
        <v>3383</v>
      </c>
      <c r="H466" s="173"/>
    </row>
    <row r="467" spans="1:8" x14ac:dyDescent="0.2">
      <c r="A467" s="173">
        <v>466</v>
      </c>
      <c r="B467" s="173" t="s">
        <v>1555</v>
      </c>
      <c r="C467" s="173"/>
      <c r="D467" s="173"/>
      <c r="E467" s="173">
        <v>18</v>
      </c>
      <c r="F467" s="173">
        <v>43</v>
      </c>
      <c r="G467" s="173">
        <v>92</v>
      </c>
      <c r="H467" s="173"/>
    </row>
    <row r="468" spans="1:8" x14ac:dyDescent="0.2">
      <c r="A468" s="173">
        <v>467</v>
      </c>
      <c r="B468" s="173" t="s">
        <v>3823</v>
      </c>
      <c r="C468" s="175"/>
      <c r="D468" s="175"/>
      <c r="E468" s="173">
        <v>18</v>
      </c>
      <c r="F468" s="173"/>
      <c r="G468" s="173">
        <v>365</v>
      </c>
      <c r="H468" s="173"/>
    </row>
    <row r="469" spans="1:8" x14ac:dyDescent="0.2">
      <c r="A469" s="173">
        <v>468</v>
      </c>
      <c r="B469" s="173" t="s">
        <v>3743</v>
      </c>
      <c r="C469" s="173"/>
      <c r="D469" s="173"/>
      <c r="E469" s="173">
        <v>18</v>
      </c>
      <c r="F469" s="173"/>
      <c r="G469" s="173">
        <v>1274</v>
      </c>
      <c r="H469" s="173"/>
    </row>
    <row r="470" spans="1:8" x14ac:dyDescent="0.2">
      <c r="A470" s="173">
        <v>469</v>
      </c>
      <c r="B470" s="173" t="s">
        <v>3924</v>
      </c>
      <c r="C470" s="173"/>
      <c r="D470" s="173"/>
      <c r="E470" s="173">
        <v>10</v>
      </c>
      <c r="F470" s="173"/>
      <c r="G470" s="173">
        <v>137</v>
      </c>
      <c r="H470" s="173"/>
    </row>
    <row r="471" spans="1:8" x14ac:dyDescent="0.2">
      <c r="A471" s="173">
        <v>470</v>
      </c>
      <c r="B471" s="173" t="s">
        <v>3683</v>
      </c>
      <c r="C471" s="173"/>
      <c r="D471" s="173"/>
      <c r="E471" s="173">
        <v>18</v>
      </c>
      <c r="F471" s="173"/>
      <c r="G471" s="173">
        <v>280</v>
      </c>
      <c r="H471" s="173"/>
    </row>
    <row r="472" spans="1:8" x14ac:dyDescent="0.2">
      <c r="A472" s="173">
        <v>471</v>
      </c>
      <c r="B472" s="173" t="s">
        <v>2496</v>
      </c>
      <c r="C472" s="173" t="s">
        <v>3389</v>
      </c>
      <c r="D472" s="173"/>
      <c r="E472" s="173">
        <v>18</v>
      </c>
      <c r="F472" s="173"/>
      <c r="G472" s="173">
        <v>1328</v>
      </c>
      <c r="H472" s="173"/>
    </row>
    <row r="473" spans="1:8" x14ac:dyDescent="0.2">
      <c r="A473" s="173">
        <v>472</v>
      </c>
      <c r="B473" s="173" t="s">
        <v>1565</v>
      </c>
      <c r="C473" s="173"/>
      <c r="D473" s="173"/>
      <c r="E473" s="173">
        <v>18</v>
      </c>
      <c r="F473" s="173">
        <v>223</v>
      </c>
      <c r="G473" s="173">
        <v>497</v>
      </c>
      <c r="H473" s="173"/>
    </row>
    <row r="474" spans="1:8" x14ac:dyDescent="0.2">
      <c r="A474" s="173">
        <v>473</v>
      </c>
      <c r="B474" s="173" t="s">
        <v>1475</v>
      </c>
      <c r="C474" s="173" t="s">
        <v>2172</v>
      </c>
      <c r="D474" s="173"/>
      <c r="E474" s="173">
        <v>18</v>
      </c>
      <c r="F474" s="173">
        <v>215</v>
      </c>
      <c r="G474" s="173">
        <v>491</v>
      </c>
      <c r="H474" s="173"/>
    </row>
    <row r="475" spans="1:8" x14ac:dyDescent="0.2">
      <c r="A475" s="173">
        <v>474</v>
      </c>
      <c r="B475" s="173" t="s">
        <v>1493</v>
      </c>
      <c r="C475" s="173"/>
      <c r="D475" s="173"/>
      <c r="E475" s="173">
        <v>18</v>
      </c>
      <c r="F475" s="173">
        <v>326.5</v>
      </c>
      <c r="G475" s="173">
        <v>698</v>
      </c>
      <c r="H475" s="173" t="s">
        <v>669</v>
      </c>
    </row>
    <row r="476" spans="1:8" x14ac:dyDescent="0.2">
      <c r="A476" s="173">
        <v>475</v>
      </c>
      <c r="B476" s="173" t="s">
        <v>4559</v>
      </c>
      <c r="C476" s="173"/>
      <c r="D476" s="173"/>
      <c r="E476" s="173">
        <v>18</v>
      </c>
      <c r="F476" s="173"/>
      <c r="G476" s="173">
        <v>1292</v>
      </c>
      <c r="H476" s="173"/>
    </row>
    <row r="477" spans="1:8" x14ac:dyDescent="0.2">
      <c r="A477" s="173">
        <v>476</v>
      </c>
      <c r="B477" s="173" t="s">
        <v>1492</v>
      </c>
      <c r="C477" s="173"/>
      <c r="D477" s="173"/>
      <c r="E477" s="173">
        <v>19</v>
      </c>
      <c r="F477" s="173">
        <v>252.5</v>
      </c>
      <c r="G477" s="173">
        <v>563</v>
      </c>
      <c r="H477" s="173"/>
    </row>
    <row r="478" spans="1:8" x14ac:dyDescent="0.2">
      <c r="A478" s="173">
        <v>477</v>
      </c>
      <c r="B478" s="173" t="s">
        <v>3362</v>
      </c>
      <c r="C478" s="173"/>
      <c r="D478" s="173"/>
      <c r="E478" s="173">
        <v>19</v>
      </c>
      <c r="F478" s="173"/>
      <c r="G478" s="173">
        <v>1148</v>
      </c>
      <c r="H478" s="173"/>
    </row>
    <row r="479" spans="1:8" x14ac:dyDescent="0.2">
      <c r="A479" s="173">
        <v>478</v>
      </c>
      <c r="B479" s="173" t="s">
        <v>1501</v>
      </c>
      <c r="C479" s="173"/>
      <c r="D479" s="173"/>
      <c r="E479" s="173">
        <v>17</v>
      </c>
      <c r="F479" s="173">
        <v>443.5</v>
      </c>
      <c r="G479" s="173">
        <v>905</v>
      </c>
      <c r="H479" s="173"/>
    </row>
    <row r="480" spans="1:8" x14ac:dyDescent="0.2">
      <c r="A480" s="173">
        <v>479</v>
      </c>
      <c r="B480" s="173" t="s">
        <v>1563</v>
      </c>
      <c r="C480" s="173"/>
      <c r="D480" s="173"/>
      <c r="E480" s="173">
        <v>19</v>
      </c>
      <c r="F480" s="173">
        <v>160</v>
      </c>
      <c r="G480" s="173">
        <v>338</v>
      </c>
      <c r="H480" s="173"/>
    </row>
    <row r="481" spans="1:8" x14ac:dyDescent="0.2">
      <c r="A481" s="173">
        <v>480</v>
      </c>
      <c r="B481" s="173" t="s">
        <v>1798</v>
      </c>
      <c r="C481" s="173"/>
      <c r="D481" s="173"/>
      <c r="E481" s="173">
        <v>15</v>
      </c>
      <c r="F481" s="173"/>
      <c r="G481" s="173" t="s">
        <v>3348</v>
      </c>
      <c r="H481" s="173"/>
    </row>
    <row r="482" spans="1:8" x14ac:dyDescent="0.2">
      <c r="A482" s="173">
        <v>481</v>
      </c>
      <c r="B482" s="173" t="s">
        <v>4197</v>
      </c>
      <c r="C482" s="173"/>
      <c r="D482" s="173"/>
      <c r="E482" s="173">
        <v>19</v>
      </c>
      <c r="F482" s="173"/>
      <c r="G482" s="173">
        <v>207</v>
      </c>
      <c r="H482" s="173"/>
    </row>
    <row r="483" spans="1:8" x14ac:dyDescent="0.2">
      <c r="A483" s="173">
        <v>482</v>
      </c>
      <c r="B483" s="173" t="s">
        <v>3731</v>
      </c>
      <c r="C483" s="173"/>
      <c r="D483" s="173"/>
      <c r="E483" s="173">
        <v>0</v>
      </c>
      <c r="F483" s="173"/>
      <c r="G483" s="173">
        <v>212</v>
      </c>
      <c r="H483" s="173"/>
    </row>
    <row r="484" spans="1:8" x14ac:dyDescent="0.2">
      <c r="A484" s="173">
        <v>483</v>
      </c>
      <c r="B484" s="173" t="s">
        <v>1791</v>
      </c>
      <c r="C484" s="173"/>
      <c r="D484" s="173"/>
      <c r="E484" s="173">
        <v>19</v>
      </c>
      <c r="F484" s="173"/>
      <c r="G484" s="173">
        <v>401</v>
      </c>
      <c r="H484" s="173" t="s">
        <v>669</v>
      </c>
    </row>
    <row r="485" spans="1:8" x14ac:dyDescent="0.2">
      <c r="A485" s="173">
        <v>484</v>
      </c>
      <c r="B485" s="173" t="s">
        <v>3538</v>
      </c>
      <c r="C485" s="173"/>
      <c r="D485" s="173"/>
      <c r="E485" s="173">
        <v>19</v>
      </c>
      <c r="F485" s="173"/>
      <c r="G485" s="173">
        <v>570</v>
      </c>
      <c r="H485" s="173"/>
    </row>
    <row r="486" spans="1:8" x14ac:dyDescent="0.2">
      <c r="A486" s="173">
        <v>485</v>
      </c>
      <c r="B486" s="173" t="s">
        <v>1515</v>
      </c>
      <c r="C486" s="173"/>
      <c r="D486" s="173"/>
      <c r="E486" s="173">
        <v>19</v>
      </c>
      <c r="F486" s="173"/>
      <c r="G486" s="173">
        <v>419</v>
      </c>
      <c r="H486" s="173"/>
    </row>
    <row r="487" spans="1:8" x14ac:dyDescent="0.2">
      <c r="A487" s="173">
        <v>486</v>
      </c>
      <c r="B487" s="173" t="s">
        <v>3836</v>
      </c>
      <c r="C487" s="173" t="s">
        <v>4532</v>
      </c>
      <c r="D487" s="173"/>
      <c r="E487" s="173">
        <v>18</v>
      </c>
      <c r="F487" s="173"/>
      <c r="G487" s="173">
        <v>734</v>
      </c>
      <c r="H487" s="173"/>
    </row>
    <row r="488" spans="1:8" x14ac:dyDescent="0.2">
      <c r="A488" s="173">
        <v>487</v>
      </c>
      <c r="B488" s="173" t="s">
        <v>3835</v>
      </c>
      <c r="C488" s="173" t="s">
        <v>4531</v>
      </c>
      <c r="D488" s="173"/>
      <c r="E488" s="173">
        <v>0</v>
      </c>
      <c r="F488" s="173"/>
      <c r="G488" s="173">
        <v>644</v>
      </c>
      <c r="H488" s="173"/>
    </row>
    <row r="489" spans="1:8" x14ac:dyDescent="0.2">
      <c r="A489" s="173">
        <v>488</v>
      </c>
      <c r="B489" s="173" t="s">
        <v>4504</v>
      </c>
      <c r="C489" s="173"/>
      <c r="D489" s="173"/>
      <c r="E489" s="173">
        <v>20</v>
      </c>
      <c r="F489" s="173"/>
      <c r="G489" s="173">
        <v>419</v>
      </c>
      <c r="H489" s="173"/>
    </row>
    <row r="490" spans="1:8" x14ac:dyDescent="0.2">
      <c r="A490" s="173">
        <v>489</v>
      </c>
      <c r="B490" s="173" t="s">
        <v>3622</v>
      </c>
      <c r="C490" s="173"/>
      <c r="D490" s="173"/>
      <c r="E490" s="173">
        <v>20</v>
      </c>
      <c r="F490" s="173"/>
      <c r="G490" s="173">
        <v>1076</v>
      </c>
      <c r="H490" s="173"/>
    </row>
    <row r="491" spans="1:8" x14ac:dyDescent="0.2">
      <c r="A491" s="173">
        <v>490</v>
      </c>
      <c r="B491" s="173" t="s">
        <v>1460</v>
      </c>
      <c r="C491" s="173" t="s">
        <v>2166</v>
      </c>
      <c r="D491" s="173"/>
      <c r="E491" s="173">
        <v>20</v>
      </c>
      <c r="F491" s="173">
        <v>97</v>
      </c>
      <c r="G491" s="173">
        <v>215</v>
      </c>
      <c r="H491" s="173"/>
    </row>
    <row r="492" spans="1:8" x14ac:dyDescent="0.2">
      <c r="A492" s="173">
        <v>491</v>
      </c>
      <c r="B492" s="173" t="s">
        <v>4199</v>
      </c>
      <c r="C492" s="173"/>
      <c r="D492" s="173"/>
      <c r="E492" s="173">
        <v>20</v>
      </c>
      <c r="F492" s="173"/>
      <c r="G492" s="173">
        <v>140</v>
      </c>
      <c r="H492" s="173"/>
    </row>
    <row r="493" spans="1:8" x14ac:dyDescent="0.2">
      <c r="A493" s="173">
        <v>492</v>
      </c>
      <c r="B493" s="173" t="s">
        <v>3734</v>
      </c>
      <c r="C493" s="173"/>
      <c r="D493" s="173"/>
      <c r="E493" s="173">
        <v>20</v>
      </c>
      <c r="F493" s="173"/>
      <c r="G493" s="173">
        <v>460</v>
      </c>
      <c r="H493" s="173"/>
    </row>
    <row r="494" spans="1:8" x14ac:dyDescent="0.2">
      <c r="A494" s="173">
        <v>493</v>
      </c>
      <c r="B494" s="173" t="s">
        <v>1559</v>
      </c>
      <c r="C494" s="173"/>
      <c r="D494" s="173"/>
      <c r="E494" s="173">
        <v>20</v>
      </c>
      <c r="F494" s="173">
        <v>75.5</v>
      </c>
      <c r="G494" s="173">
        <v>163</v>
      </c>
      <c r="H494" s="173"/>
    </row>
    <row r="495" spans="1:8" x14ac:dyDescent="0.2">
      <c r="A495" s="173">
        <v>494</v>
      </c>
      <c r="B495" s="173" t="s">
        <v>1690</v>
      </c>
      <c r="C495" s="173"/>
      <c r="D495" s="173"/>
      <c r="E495" s="173">
        <v>20</v>
      </c>
      <c r="F495" s="173"/>
      <c r="G495" s="173">
        <v>77</v>
      </c>
      <c r="H495" s="173"/>
    </row>
    <row r="496" spans="1:8" x14ac:dyDescent="0.2">
      <c r="A496" s="173">
        <v>495</v>
      </c>
      <c r="B496" s="173" t="s">
        <v>3765</v>
      </c>
      <c r="C496" s="173"/>
      <c r="D496" s="173"/>
      <c r="E496" s="173">
        <v>20</v>
      </c>
      <c r="F496" s="173"/>
      <c r="G496" s="173">
        <v>131</v>
      </c>
      <c r="H496" s="173"/>
    </row>
    <row r="497" spans="1:8" x14ac:dyDescent="0.2">
      <c r="A497" s="173">
        <v>496</v>
      </c>
      <c r="B497" s="173" t="s">
        <v>3761</v>
      </c>
      <c r="C497" s="173"/>
      <c r="D497" s="173"/>
      <c r="E497" s="173">
        <v>20</v>
      </c>
      <c r="F497" s="173"/>
      <c r="G497" s="173">
        <v>266</v>
      </c>
      <c r="H497" s="173"/>
    </row>
    <row r="498" spans="1:8" x14ac:dyDescent="0.2">
      <c r="A498" s="173">
        <v>497</v>
      </c>
      <c r="B498" s="173" t="s">
        <v>3593</v>
      </c>
      <c r="C498" s="173"/>
      <c r="D498" s="173"/>
      <c r="E498" s="173">
        <v>20</v>
      </c>
      <c r="F498" s="173"/>
      <c r="G498" s="173">
        <v>257</v>
      </c>
      <c r="H498" s="173"/>
    </row>
    <row r="499" spans="1:8" x14ac:dyDescent="0.2">
      <c r="A499" s="173">
        <v>498</v>
      </c>
      <c r="B499" s="173" t="s">
        <v>1513</v>
      </c>
      <c r="C499" s="173"/>
      <c r="D499" s="173"/>
      <c r="E499" s="173">
        <v>20</v>
      </c>
      <c r="F499" s="173"/>
      <c r="G499" s="173">
        <v>329</v>
      </c>
      <c r="H499" s="173"/>
    </row>
    <row r="500" spans="1:8" x14ac:dyDescent="0.2">
      <c r="A500" s="173">
        <v>499</v>
      </c>
      <c r="B500" s="173" t="s">
        <v>2775</v>
      </c>
      <c r="C500" s="173"/>
      <c r="D500" s="173"/>
      <c r="E500" s="173">
        <v>8</v>
      </c>
      <c r="F500" s="173"/>
      <c r="G500" s="173">
        <v>406</v>
      </c>
      <c r="H500" s="173"/>
    </row>
    <row r="501" spans="1:8" x14ac:dyDescent="0.2">
      <c r="A501" s="173">
        <v>500</v>
      </c>
      <c r="B501" s="173" t="s">
        <v>1574</v>
      </c>
      <c r="C501" s="173"/>
      <c r="D501" s="173"/>
      <c r="E501" s="173">
        <v>20</v>
      </c>
      <c r="F501" s="173">
        <v>88</v>
      </c>
      <c r="G501" s="173">
        <v>199</v>
      </c>
      <c r="H501" s="173"/>
    </row>
    <row r="502" spans="1:8" x14ac:dyDescent="0.2">
      <c r="A502" s="173">
        <v>501</v>
      </c>
      <c r="B502" s="173" t="s">
        <v>1572</v>
      </c>
      <c r="C502" s="173"/>
      <c r="D502" s="173"/>
      <c r="E502" s="173">
        <v>20</v>
      </c>
      <c r="F502" s="173">
        <v>80</v>
      </c>
      <c r="G502" s="173">
        <v>185</v>
      </c>
      <c r="H502" s="173"/>
    </row>
    <row r="503" spans="1:8" x14ac:dyDescent="0.2">
      <c r="A503" s="173">
        <v>502</v>
      </c>
      <c r="B503" s="173" t="s">
        <v>4517</v>
      </c>
      <c r="C503" s="173"/>
      <c r="D503" s="173"/>
      <c r="E503" s="173">
        <v>20</v>
      </c>
      <c r="F503" s="173"/>
      <c r="G503" s="173"/>
      <c r="H503" s="173"/>
    </row>
    <row r="504" spans="1:8" x14ac:dyDescent="0.2">
      <c r="A504" s="173">
        <v>503</v>
      </c>
      <c r="B504" s="173" t="s">
        <v>1483</v>
      </c>
      <c r="C504" s="173"/>
      <c r="D504" s="173"/>
      <c r="E504" s="173">
        <v>21</v>
      </c>
      <c r="F504" s="173">
        <v>135</v>
      </c>
      <c r="G504" s="173">
        <v>311</v>
      </c>
      <c r="H504" s="173" t="s">
        <v>669</v>
      </c>
    </row>
    <row r="505" spans="1:8" x14ac:dyDescent="0.2">
      <c r="A505" s="173">
        <v>504</v>
      </c>
      <c r="B505" s="173" t="s">
        <v>3919</v>
      </c>
      <c r="C505" s="173"/>
      <c r="D505" s="173"/>
      <c r="E505" s="173">
        <v>21</v>
      </c>
      <c r="F505" s="173"/>
      <c r="G505" s="173">
        <v>284</v>
      </c>
      <c r="H505" s="173"/>
    </row>
    <row r="506" spans="1:8" x14ac:dyDescent="0.2">
      <c r="A506" s="173">
        <v>505</v>
      </c>
      <c r="B506" s="173" t="s">
        <v>1783</v>
      </c>
      <c r="C506" s="173" t="s">
        <v>3353</v>
      </c>
      <c r="D506" s="173"/>
      <c r="E506" s="173">
        <v>21</v>
      </c>
      <c r="F506" s="173"/>
      <c r="G506" s="173" t="s">
        <v>4492</v>
      </c>
      <c r="H506" s="175">
        <v>0.28000000000000003</v>
      </c>
    </row>
    <row r="507" spans="1:8" x14ac:dyDescent="0.2">
      <c r="A507" s="173">
        <v>506</v>
      </c>
      <c r="B507" s="173" t="s">
        <v>1498</v>
      </c>
      <c r="C507" s="173"/>
      <c r="D507" s="173"/>
      <c r="E507" s="173">
        <v>19</v>
      </c>
      <c r="F507" s="173">
        <v>446</v>
      </c>
      <c r="G507" s="173">
        <v>937</v>
      </c>
      <c r="H507" s="173"/>
    </row>
    <row r="508" spans="1:8" x14ac:dyDescent="0.2">
      <c r="A508" s="173">
        <v>507</v>
      </c>
      <c r="B508" s="173" t="s">
        <v>2770</v>
      </c>
      <c r="C508" s="173"/>
      <c r="D508" s="173"/>
      <c r="E508" s="173">
        <v>21</v>
      </c>
      <c r="F508" s="173"/>
      <c r="G508" s="173">
        <v>617</v>
      </c>
      <c r="H508" s="173"/>
    </row>
    <row r="509" spans="1:8" x14ac:dyDescent="0.2">
      <c r="A509" s="173">
        <v>508</v>
      </c>
      <c r="B509" s="173" t="s">
        <v>1459</v>
      </c>
      <c r="C509" s="173" t="s">
        <v>2162</v>
      </c>
      <c r="D509" s="173"/>
      <c r="E509" s="173">
        <v>21</v>
      </c>
      <c r="F509" s="173">
        <v>396</v>
      </c>
      <c r="G509" s="173">
        <v>855</v>
      </c>
      <c r="H509" s="173"/>
    </row>
    <row r="510" spans="1:8" x14ac:dyDescent="0.2">
      <c r="A510" s="173">
        <v>509</v>
      </c>
      <c r="B510" s="173" t="s">
        <v>1560</v>
      </c>
      <c r="C510" s="173"/>
      <c r="D510" s="173"/>
      <c r="E510" s="173">
        <v>21</v>
      </c>
      <c r="F510" s="173">
        <v>147.5</v>
      </c>
      <c r="G510" s="173">
        <v>331</v>
      </c>
      <c r="H510" s="173"/>
    </row>
    <row r="511" spans="1:8" x14ac:dyDescent="0.2">
      <c r="A511" s="173">
        <v>510</v>
      </c>
      <c r="B511" s="173" t="s">
        <v>3635</v>
      </c>
      <c r="C511" s="173"/>
      <c r="D511" s="173"/>
      <c r="E511" s="173">
        <v>21</v>
      </c>
      <c r="F511" s="173"/>
      <c r="G511" s="173">
        <v>1697</v>
      </c>
      <c r="H511" s="173"/>
    </row>
    <row r="512" spans="1:8" x14ac:dyDescent="0.2">
      <c r="A512" s="173">
        <v>511</v>
      </c>
      <c r="B512" s="173" t="s">
        <v>3534</v>
      </c>
      <c r="C512" s="173"/>
      <c r="D512" s="173"/>
      <c r="E512" s="173">
        <v>21</v>
      </c>
      <c r="F512" s="173"/>
      <c r="G512" s="173">
        <v>1085</v>
      </c>
      <c r="H512" s="173"/>
    </row>
    <row r="513" spans="1:8" x14ac:dyDescent="0.2">
      <c r="A513" s="173">
        <v>512</v>
      </c>
      <c r="B513" s="173" t="s">
        <v>3537</v>
      </c>
      <c r="C513" s="173"/>
      <c r="D513" s="173"/>
      <c r="E513" s="173">
        <v>19</v>
      </c>
      <c r="F513" s="173"/>
      <c r="G513" s="173">
        <v>340</v>
      </c>
      <c r="H513" s="173"/>
    </row>
    <row r="514" spans="1:8" x14ac:dyDescent="0.2">
      <c r="A514" s="173">
        <v>513</v>
      </c>
      <c r="B514" s="173" t="s">
        <v>1524</v>
      </c>
      <c r="C514" s="173"/>
      <c r="D514" s="173"/>
      <c r="E514" s="173">
        <v>21</v>
      </c>
      <c r="F514" s="173"/>
      <c r="G514" s="173">
        <v>1283</v>
      </c>
      <c r="H514" s="173"/>
    </row>
    <row r="515" spans="1:8" x14ac:dyDescent="0.2">
      <c r="A515" s="173">
        <v>514</v>
      </c>
      <c r="B515" s="173" t="s">
        <v>1496</v>
      </c>
      <c r="C515" s="173" t="s">
        <v>3706</v>
      </c>
      <c r="D515" s="173"/>
      <c r="E515" s="173">
        <v>16</v>
      </c>
      <c r="F515" s="173">
        <v>385</v>
      </c>
      <c r="G515" s="173">
        <v>777</v>
      </c>
      <c r="H515" s="173"/>
    </row>
    <row r="516" spans="1:8" x14ac:dyDescent="0.2">
      <c r="A516" s="173">
        <v>515</v>
      </c>
      <c r="B516" s="173" t="s">
        <v>1610</v>
      </c>
      <c r="C516" s="175">
        <v>0.28000000000000003</v>
      </c>
      <c r="D516" s="175"/>
      <c r="E516" s="173">
        <v>19</v>
      </c>
      <c r="F516" s="173"/>
      <c r="G516" s="173">
        <v>1328</v>
      </c>
      <c r="H516" s="173"/>
    </row>
    <row r="517" spans="1:8" x14ac:dyDescent="0.2">
      <c r="A517" s="173">
        <v>516</v>
      </c>
      <c r="B517" s="173" t="s">
        <v>3327</v>
      </c>
      <c r="C517" s="173"/>
      <c r="D517" s="173"/>
      <c r="E517" s="173">
        <v>22</v>
      </c>
      <c r="F517" s="173"/>
      <c r="G517" s="173">
        <v>365</v>
      </c>
      <c r="H517" s="173"/>
    </row>
    <row r="518" spans="1:8" x14ac:dyDescent="0.2">
      <c r="A518" s="173">
        <v>517</v>
      </c>
      <c r="B518" s="173" t="s">
        <v>3920</v>
      </c>
      <c r="C518" s="173"/>
      <c r="D518" s="173"/>
      <c r="E518" s="173">
        <v>22</v>
      </c>
      <c r="F518" s="173"/>
      <c r="G518" s="173">
        <v>968</v>
      </c>
      <c r="H518" s="173"/>
    </row>
    <row r="519" spans="1:8" x14ac:dyDescent="0.2">
      <c r="A519" s="173">
        <v>518</v>
      </c>
      <c r="B519" s="173" t="s">
        <v>1462</v>
      </c>
      <c r="C519" s="173" t="s">
        <v>2154</v>
      </c>
      <c r="D519" s="173"/>
      <c r="E519" s="173">
        <v>22</v>
      </c>
      <c r="F519" s="173">
        <v>119.5</v>
      </c>
      <c r="G519" s="173">
        <v>271</v>
      </c>
      <c r="H519" s="173"/>
    </row>
    <row r="520" spans="1:8" x14ac:dyDescent="0.2">
      <c r="A520" s="173">
        <v>519</v>
      </c>
      <c r="B520" s="173" t="s">
        <v>1683</v>
      </c>
      <c r="C520" s="173"/>
      <c r="D520" s="173"/>
      <c r="E520" s="173">
        <v>12</v>
      </c>
      <c r="F520" s="173"/>
      <c r="G520" s="173">
        <v>374</v>
      </c>
      <c r="H520" s="173"/>
    </row>
    <row r="521" spans="1:8" x14ac:dyDescent="0.2">
      <c r="A521" s="173">
        <v>520</v>
      </c>
      <c r="B521" s="173" t="s">
        <v>1484</v>
      </c>
      <c r="C521" s="173"/>
      <c r="D521" s="173"/>
      <c r="E521" s="173">
        <v>23</v>
      </c>
      <c r="F521" s="173">
        <v>151</v>
      </c>
      <c r="G521" s="173">
        <v>311</v>
      </c>
      <c r="H521" s="173"/>
    </row>
    <row r="522" spans="1:8" x14ac:dyDescent="0.2">
      <c r="A522" s="173">
        <v>521</v>
      </c>
      <c r="B522" s="173" t="s">
        <v>1547</v>
      </c>
      <c r="C522" s="173"/>
      <c r="D522" s="173"/>
      <c r="E522" s="173">
        <v>23</v>
      </c>
      <c r="F522" s="173">
        <v>57.5</v>
      </c>
      <c r="G522" s="173">
        <v>124</v>
      </c>
      <c r="H522" s="173" t="s">
        <v>2370</v>
      </c>
    </row>
    <row r="523" spans="1:8" x14ac:dyDescent="0.2">
      <c r="A523" s="173">
        <v>522</v>
      </c>
      <c r="B523" s="173" t="s">
        <v>1467</v>
      </c>
      <c r="C523" s="173" t="s">
        <v>2158</v>
      </c>
      <c r="D523" s="173"/>
      <c r="E523" s="173">
        <v>23</v>
      </c>
      <c r="F523" s="173">
        <v>169</v>
      </c>
      <c r="G523" s="173">
        <v>360</v>
      </c>
      <c r="H523" s="173"/>
    </row>
    <row r="524" spans="1:8" x14ac:dyDescent="0.2">
      <c r="A524" s="173">
        <v>523</v>
      </c>
      <c r="B524" s="173" t="s">
        <v>1553</v>
      </c>
      <c r="C524" s="173"/>
      <c r="D524" s="173"/>
      <c r="E524" s="173">
        <v>23</v>
      </c>
      <c r="F524" s="173">
        <v>38.5</v>
      </c>
      <c r="G524" s="173">
        <f>F524*2</f>
        <v>77</v>
      </c>
      <c r="H524" s="173" t="s">
        <v>2370</v>
      </c>
    </row>
    <row r="525" spans="1:8" x14ac:dyDescent="0.2">
      <c r="A525" s="173">
        <v>524</v>
      </c>
      <c r="B525" s="173" t="s">
        <v>2259</v>
      </c>
      <c r="C525" s="173"/>
      <c r="D525" s="173"/>
      <c r="E525" s="173">
        <v>23</v>
      </c>
      <c r="F525" s="173"/>
      <c r="G525" s="173">
        <v>79</v>
      </c>
      <c r="H525" s="173"/>
    </row>
    <row r="526" spans="1:8" x14ac:dyDescent="0.2">
      <c r="A526" s="173">
        <v>525</v>
      </c>
      <c r="B526" s="173" t="s">
        <v>1468</v>
      </c>
      <c r="C526" s="173" t="s">
        <v>2160</v>
      </c>
      <c r="D526" s="173"/>
      <c r="E526" s="173">
        <v>23</v>
      </c>
      <c r="F526" s="173">
        <v>220.5</v>
      </c>
      <c r="G526" s="173">
        <f>F526*2</f>
        <v>441</v>
      </c>
      <c r="H526" s="173"/>
    </row>
    <row r="527" spans="1:8" x14ac:dyDescent="0.2">
      <c r="A527" s="173">
        <v>526</v>
      </c>
      <c r="B527" s="173" t="s">
        <v>1540</v>
      </c>
      <c r="C527" s="173"/>
      <c r="D527" s="173"/>
      <c r="E527" s="173">
        <v>23</v>
      </c>
      <c r="F527" s="173">
        <v>142</v>
      </c>
      <c r="G527" s="173" t="s">
        <v>2787</v>
      </c>
      <c r="H527" s="173"/>
    </row>
    <row r="528" spans="1:8" x14ac:dyDescent="0.2">
      <c r="A528" s="173">
        <v>527</v>
      </c>
      <c r="B528" s="173" t="s">
        <v>3584</v>
      </c>
      <c r="C528" s="173"/>
      <c r="D528" s="173"/>
      <c r="E528" s="173">
        <v>23</v>
      </c>
      <c r="F528" s="173"/>
      <c r="G528" s="173">
        <v>680</v>
      </c>
      <c r="H528" s="173"/>
    </row>
    <row r="529" spans="1:8" x14ac:dyDescent="0.2">
      <c r="A529" s="173">
        <v>528</v>
      </c>
      <c r="B529" s="173" t="s">
        <v>1538</v>
      </c>
      <c r="C529" s="173" t="s">
        <v>2175</v>
      </c>
      <c r="D529" s="173"/>
      <c r="E529" s="173">
        <v>23</v>
      </c>
      <c r="F529" s="173">
        <v>160</v>
      </c>
      <c r="G529" s="173" t="s">
        <v>3993</v>
      </c>
      <c r="H529" s="173"/>
    </row>
    <row r="530" spans="1:8" x14ac:dyDescent="0.2">
      <c r="A530" s="173">
        <v>529</v>
      </c>
      <c r="B530" s="173" t="s">
        <v>1550</v>
      </c>
      <c r="C530" s="173"/>
      <c r="D530" s="173"/>
      <c r="E530" s="173">
        <v>23</v>
      </c>
      <c r="F530" s="173">
        <v>33.5</v>
      </c>
      <c r="G530" s="173" t="s">
        <v>2773</v>
      </c>
      <c r="H530" s="173"/>
    </row>
    <row r="531" spans="1:8" x14ac:dyDescent="0.2">
      <c r="A531" s="173">
        <v>530</v>
      </c>
      <c r="B531" s="173" t="s">
        <v>1612</v>
      </c>
      <c r="C531" s="173"/>
      <c r="D531" s="173"/>
      <c r="E531" s="173">
        <v>23</v>
      </c>
      <c r="F531" s="173"/>
      <c r="G531" s="173">
        <v>167</v>
      </c>
      <c r="H531" s="173" t="s">
        <v>2370</v>
      </c>
    </row>
    <row r="532" spans="1:8" x14ac:dyDescent="0.2">
      <c r="A532" s="173">
        <v>531</v>
      </c>
      <c r="B532" s="173" t="s">
        <v>3091</v>
      </c>
      <c r="C532" s="173" t="s">
        <v>2223</v>
      </c>
      <c r="D532" s="173"/>
      <c r="E532" s="173">
        <v>23</v>
      </c>
      <c r="F532" s="173">
        <v>196</v>
      </c>
      <c r="G532" s="173">
        <v>419</v>
      </c>
      <c r="H532" s="173"/>
    </row>
    <row r="533" spans="1:8" x14ac:dyDescent="0.2">
      <c r="A533" s="173">
        <v>532</v>
      </c>
      <c r="B533" s="173" t="s">
        <v>4428</v>
      </c>
      <c r="C533" s="175"/>
      <c r="D533" s="175"/>
      <c r="E533" s="173">
        <v>22</v>
      </c>
      <c r="F533" s="173"/>
      <c r="G533" s="173">
        <v>1270</v>
      </c>
      <c r="H533" s="173"/>
    </row>
    <row r="534" spans="1:8" x14ac:dyDescent="0.2">
      <c r="A534" s="173">
        <v>533</v>
      </c>
      <c r="B534" s="173" t="s">
        <v>1549</v>
      </c>
      <c r="C534" s="173"/>
      <c r="D534" s="173"/>
      <c r="E534" s="173">
        <v>24</v>
      </c>
      <c r="F534" s="173">
        <v>92.5</v>
      </c>
      <c r="G534" s="173">
        <f>F534*2</f>
        <v>185</v>
      </c>
      <c r="H534" s="173"/>
    </row>
    <row r="535" spans="1:8" x14ac:dyDescent="0.2">
      <c r="A535" s="173">
        <v>534</v>
      </c>
      <c r="B535" s="173" t="s">
        <v>1463</v>
      </c>
      <c r="C535" s="173" t="s">
        <v>2155</v>
      </c>
      <c r="D535" s="173"/>
      <c r="E535" s="173">
        <v>24</v>
      </c>
      <c r="F535" s="173">
        <v>135.5</v>
      </c>
      <c r="G535" s="173">
        <v>311</v>
      </c>
      <c r="H535" s="173"/>
    </row>
    <row r="536" spans="1:8" x14ac:dyDescent="0.2">
      <c r="A536" s="173">
        <v>535</v>
      </c>
      <c r="B536" s="173" t="s">
        <v>3198</v>
      </c>
      <c r="C536" s="173"/>
      <c r="D536" s="173"/>
      <c r="E536" s="173">
        <v>25</v>
      </c>
      <c r="F536" s="173"/>
      <c r="G536" s="173">
        <v>968</v>
      </c>
      <c r="H536" s="173"/>
    </row>
    <row r="537" spans="1:8" x14ac:dyDescent="0.2">
      <c r="A537" s="173">
        <v>536</v>
      </c>
      <c r="B537" s="173" t="s">
        <v>1614</v>
      </c>
      <c r="C537" s="173"/>
      <c r="D537" s="173"/>
      <c r="E537" s="173">
        <v>25</v>
      </c>
      <c r="F537" s="173"/>
      <c r="G537" s="173">
        <v>293</v>
      </c>
      <c r="H537" s="173"/>
    </row>
    <row r="538" spans="1:8" x14ac:dyDescent="0.2">
      <c r="A538" s="173">
        <v>537</v>
      </c>
      <c r="B538" s="173" t="s">
        <v>3082</v>
      </c>
      <c r="C538" s="173"/>
      <c r="D538" s="173"/>
      <c r="E538" s="173">
        <v>25</v>
      </c>
      <c r="F538" s="173"/>
      <c r="G538" s="173">
        <v>473</v>
      </c>
      <c r="H538" s="173"/>
    </row>
    <row r="539" spans="1:8" x14ac:dyDescent="0.2">
      <c r="A539" s="173">
        <v>538</v>
      </c>
      <c r="B539" s="173" t="s">
        <v>1684</v>
      </c>
      <c r="C539" s="173"/>
      <c r="D539" s="173"/>
      <c r="E539" s="173">
        <v>25</v>
      </c>
      <c r="F539" s="173"/>
      <c r="G539" s="173">
        <v>180</v>
      </c>
      <c r="H539" s="173"/>
    </row>
    <row r="540" spans="1:8" x14ac:dyDescent="0.2">
      <c r="A540" s="173">
        <v>539</v>
      </c>
      <c r="B540" s="173" t="s">
        <v>3594</v>
      </c>
      <c r="C540" s="173"/>
      <c r="D540" s="173"/>
      <c r="E540" s="173">
        <v>25</v>
      </c>
      <c r="F540" s="173"/>
      <c r="G540" s="173">
        <v>72</v>
      </c>
      <c r="H540" s="173"/>
    </row>
    <row r="541" spans="1:8" x14ac:dyDescent="0.2">
      <c r="A541" s="173">
        <v>540</v>
      </c>
      <c r="B541" s="173" t="s">
        <v>1619</v>
      </c>
      <c r="C541" s="173"/>
      <c r="D541" s="173"/>
      <c r="E541" s="173">
        <v>26</v>
      </c>
      <c r="F541" s="173"/>
      <c r="G541" s="173">
        <v>421</v>
      </c>
      <c r="H541" s="173"/>
    </row>
    <row r="542" spans="1:8" x14ac:dyDescent="0.2">
      <c r="A542" s="173">
        <v>541</v>
      </c>
      <c r="B542" s="173" t="s">
        <v>3732</v>
      </c>
      <c r="C542" s="173"/>
      <c r="D542" s="173"/>
      <c r="E542" s="173">
        <v>26</v>
      </c>
      <c r="F542" s="173"/>
      <c r="G542" s="173">
        <v>284</v>
      </c>
      <c r="H542" s="173"/>
    </row>
    <row r="543" spans="1:8" x14ac:dyDescent="0.2">
      <c r="A543" s="173">
        <v>542</v>
      </c>
      <c r="B543" s="173" t="s">
        <v>2779</v>
      </c>
      <c r="C543" s="173"/>
      <c r="D543" s="173"/>
      <c r="E543" s="173">
        <v>26</v>
      </c>
      <c r="F543" s="173"/>
      <c r="G543" s="173">
        <v>79</v>
      </c>
      <c r="H543" s="173"/>
    </row>
    <row r="544" spans="1:8" x14ac:dyDescent="0.2">
      <c r="A544" s="173">
        <v>543</v>
      </c>
      <c r="B544" s="173" t="s">
        <v>1682</v>
      </c>
      <c r="C544" s="173"/>
      <c r="D544" s="173"/>
      <c r="E544" s="173">
        <v>26</v>
      </c>
      <c r="F544" s="173"/>
      <c r="G544" s="173">
        <v>180</v>
      </c>
      <c r="H544" s="173"/>
    </row>
    <row r="545" spans="1:8" x14ac:dyDescent="0.2">
      <c r="A545" s="173">
        <v>544</v>
      </c>
      <c r="B545" s="173" t="s">
        <v>1464</v>
      </c>
      <c r="C545" s="173" t="s">
        <v>2156</v>
      </c>
      <c r="D545" s="173"/>
      <c r="E545" s="173">
        <v>26</v>
      </c>
      <c r="F545" s="173">
        <v>164.5</v>
      </c>
      <c r="G545" s="173">
        <f>F545*2</f>
        <v>329</v>
      </c>
      <c r="H545" s="173"/>
    </row>
    <row r="546" spans="1:8" x14ac:dyDescent="0.2">
      <c r="A546" s="173">
        <v>545</v>
      </c>
      <c r="B546" s="173" t="s">
        <v>1575</v>
      </c>
      <c r="C546" s="173"/>
      <c r="D546" s="173"/>
      <c r="E546" s="173">
        <v>26</v>
      </c>
      <c r="F546" s="173">
        <v>92.5</v>
      </c>
      <c r="G546" s="173">
        <v>203</v>
      </c>
      <c r="H546" s="173"/>
    </row>
    <row r="547" spans="1:8" x14ac:dyDescent="0.2">
      <c r="A547" s="173">
        <v>546</v>
      </c>
      <c r="B547" s="173" t="s">
        <v>1801</v>
      </c>
      <c r="C547" s="173"/>
      <c r="D547" s="173"/>
      <c r="E547" s="173">
        <v>24</v>
      </c>
      <c r="F547" s="173"/>
      <c r="G547" s="173">
        <v>1044</v>
      </c>
      <c r="H547" s="173" t="s">
        <v>669</v>
      </c>
    </row>
    <row r="548" spans="1:8" x14ac:dyDescent="0.2">
      <c r="A548" s="173">
        <v>547</v>
      </c>
      <c r="B548" s="173" t="s">
        <v>1491</v>
      </c>
      <c r="C548" s="173"/>
      <c r="D548" s="173"/>
      <c r="E548" s="173">
        <v>27</v>
      </c>
      <c r="F548" s="173">
        <v>95</v>
      </c>
      <c r="G548" s="173">
        <v>221</v>
      </c>
      <c r="H548" s="173"/>
    </row>
    <row r="549" spans="1:8" x14ac:dyDescent="0.2">
      <c r="A549" s="173">
        <v>548</v>
      </c>
      <c r="B549" s="173" t="s">
        <v>1499</v>
      </c>
      <c r="C549" s="173"/>
      <c r="D549" s="173"/>
      <c r="E549" s="173">
        <v>25</v>
      </c>
      <c r="F549" s="173">
        <v>399.5</v>
      </c>
      <c r="G549" s="173" t="s">
        <v>3234</v>
      </c>
      <c r="H549" s="173"/>
    </row>
    <row r="550" spans="1:8" x14ac:dyDescent="0.2">
      <c r="A550" s="173">
        <v>549</v>
      </c>
      <c r="B550" s="173" t="s">
        <v>1625</v>
      </c>
      <c r="C550" s="173"/>
      <c r="D550" s="173"/>
      <c r="E550" s="173">
        <v>22</v>
      </c>
      <c r="F550" s="173"/>
      <c r="G550" s="173">
        <v>113</v>
      </c>
      <c r="H550" s="173"/>
    </row>
    <row r="551" spans="1:8" x14ac:dyDescent="0.2">
      <c r="A551" s="173">
        <v>550</v>
      </c>
      <c r="B551" s="173" t="s">
        <v>1685</v>
      </c>
      <c r="C551" s="173"/>
      <c r="D551" s="173"/>
      <c r="E551" s="173">
        <v>27</v>
      </c>
      <c r="F551" s="173"/>
      <c r="G551" s="173">
        <v>248</v>
      </c>
      <c r="H551" s="173"/>
    </row>
    <row r="552" spans="1:8" x14ac:dyDescent="0.2">
      <c r="A552" s="173">
        <v>551</v>
      </c>
      <c r="B552" s="173" t="s">
        <v>3130</v>
      </c>
      <c r="C552" s="173" t="s">
        <v>3131</v>
      </c>
      <c r="D552" s="173"/>
      <c r="E552" s="173">
        <v>28</v>
      </c>
      <c r="F552" s="173"/>
      <c r="G552" s="173">
        <v>860</v>
      </c>
      <c r="H552" s="173"/>
    </row>
    <row r="553" spans="1:8" x14ac:dyDescent="0.2">
      <c r="A553" s="173">
        <v>552</v>
      </c>
      <c r="B553" s="173" t="s">
        <v>1616</v>
      </c>
      <c r="C553" s="173"/>
      <c r="D553" s="173"/>
      <c r="E553" s="173">
        <v>11</v>
      </c>
      <c r="F553" s="173"/>
      <c r="G553" s="173">
        <v>199</v>
      </c>
      <c r="H553" s="173"/>
    </row>
    <row r="554" spans="1:8" x14ac:dyDescent="0.2">
      <c r="A554" s="173">
        <v>553</v>
      </c>
      <c r="B554" s="173" t="s">
        <v>1512</v>
      </c>
      <c r="C554" s="173"/>
      <c r="D554" s="173"/>
      <c r="E554" s="173">
        <v>28</v>
      </c>
      <c r="F554" s="173"/>
      <c r="G554" s="173">
        <v>257</v>
      </c>
      <c r="H554" s="173"/>
    </row>
    <row r="555" spans="1:8" x14ac:dyDescent="0.2">
      <c r="A555" s="173">
        <v>554</v>
      </c>
      <c r="B555" s="173" t="s">
        <v>3595</v>
      </c>
      <c r="C555" s="173"/>
      <c r="D555" s="173"/>
      <c r="E555" s="173">
        <v>28</v>
      </c>
      <c r="F555" s="173"/>
      <c r="G555" s="173">
        <v>131</v>
      </c>
      <c r="H555" s="173"/>
    </row>
    <row r="556" spans="1:8" x14ac:dyDescent="0.2">
      <c r="A556" s="173">
        <v>555</v>
      </c>
      <c r="B556" s="173" t="s">
        <v>3016</v>
      </c>
      <c r="C556" s="173" t="s">
        <v>3386</v>
      </c>
      <c r="D556" s="173"/>
      <c r="E556" s="173">
        <v>28</v>
      </c>
      <c r="F556" s="173"/>
      <c r="G556" s="173">
        <v>450</v>
      </c>
      <c r="H556" s="173"/>
    </row>
    <row r="557" spans="1:8" x14ac:dyDescent="0.2">
      <c r="A557" s="173">
        <v>556</v>
      </c>
      <c r="B557" s="173" t="s">
        <v>3138</v>
      </c>
      <c r="C557" s="173"/>
      <c r="D557" s="173"/>
      <c r="E557" s="173">
        <v>49</v>
      </c>
      <c r="F557" s="173"/>
      <c r="G557" s="173">
        <v>887</v>
      </c>
      <c r="H557" s="173"/>
    </row>
    <row r="558" spans="1:8" x14ac:dyDescent="0.2">
      <c r="A558" s="173">
        <v>557</v>
      </c>
      <c r="B558" s="173" t="s">
        <v>1478</v>
      </c>
      <c r="C558" s="173"/>
      <c r="D558" s="173"/>
      <c r="E558" s="173">
        <v>29</v>
      </c>
      <c r="F558" s="173">
        <v>128.5</v>
      </c>
      <c r="G558" s="173">
        <v>293</v>
      </c>
      <c r="H558" s="173"/>
    </row>
    <row r="559" spans="1:8" x14ac:dyDescent="0.2">
      <c r="A559" s="173">
        <v>558</v>
      </c>
      <c r="B559" s="173" t="s">
        <v>3194</v>
      </c>
      <c r="C559" s="173"/>
      <c r="D559" s="173"/>
      <c r="E559" s="173">
        <v>29</v>
      </c>
      <c r="F559" s="173"/>
      <c r="G559" s="173">
        <v>509</v>
      </c>
      <c r="H559" s="173"/>
    </row>
    <row r="560" spans="1:8" x14ac:dyDescent="0.2">
      <c r="A560" s="173">
        <v>559</v>
      </c>
      <c r="B560" s="173" t="s">
        <v>1469</v>
      </c>
      <c r="C560" s="173" t="s">
        <v>2224</v>
      </c>
      <c r="D560" s="173"/>
      <c r="E560" s="173">
        <v>29</v>
      </c>
      <c r="F560" s="173">
        <v>198.5</v>
      </c>
      <c r="G560" s="173">
        <f>F560*2</f>
        <v>397</v>
      </c>
      <c r="H560" s="173" t="s">
        <v>2370</v>
      </c>
    </row>
    <row r="561" spans="1:8" x14ac:dyDescent="0.2">
      <c r="A561" s="173">
        <v>560</v>
      </c>
      <c r="B561" s="173" t="s">
        <v>3730</v>
      </c>
      <c r="C561" s="173"/>
      <c r="D561" s="173"/>
      <c r="E561" s="173">
        <v>29</v>
      </c>
      <c r="F561" s="173"/>
      <c r="G561" s="173">
        <v>82</v>
      </c>
      <c r="H561" s="173"/>
    </row>
    <row r="562" spans="1:8" x14ac:dyDescent="0.2">
      <c r="A562" s="173">
        <v>561</v>
      </c>
      <c r="B562" s="173" t="s">
        <v>1448</v>
      </c>
      <c r="C562" s="173" t="s">
        <v>2146</v>
      </c>
      <c r="D562" s="173"/>
      <c r="E562" s="173">
        <v>30</v>
      </c>
      <c r="F562" s="173">
        <v>299.5</v>
      </c>
      <c r="G562" s="173">
        <v>658</v>
      </c>
      <c r="H562" s="173"/>
    </row>
    <row r="563" spans="1:8" x14ac:dyDescent="0.2">
      <c r="A563" s="173">
        <v>562</v>
      </c>
      <c r="B563" s="173" t="s">
        <v>1680</v>
      </c>
      <c r="C563" s="173"/>
      <c r="D563" s="173"/>
      <c r="E563" s="173">
        <v>30</v>
      </c>
      <c r="F563" s="173"/>
      <c r="G563" s="173">
        <v>91</v>
      </c>
      <c r="H563" s="173"/>
    </row>
    <row r="564" spans="1:8" x14ac:dyDescent="0.2">
      <c r="A564" s="173">
        <v>563</v>
      </c>
      <c r="B564" s="173" t="s">
        <v>3907</v>
      </c>
      <c r="C564" s="173"/>
      <c r="D564" s="173"/>
      <c r="E564" s="173">
        <v>30</v>
      </c>
      <c r="F564" s="173"/>
      <c r="G564" s="173">
        <v>109</v>
      </c>
      <c r="H564" s="173"/>
    </row>
    <row r="565" spans="1:8" x14ac:dyDescent="0.2">
      <c r="A565" s="173">
        <v>564</v>
      </c>
      <c r="B565" s="173" t="s">
        <v>3764</v>
      </c>
      <c r="C565" s="173"/>
      <c r="D565" s="173"/>
      <c r="E565" s="173">
        <v>30</v>
      </c>
      <c r="F565" s="173"/>
      <c r="G565" s="173">
        <v>212</v>
      </c>
      <c r="H565" s="173"/>
    </row>
    <row r="566" spans="1:8" x14ac:dyDescent="0.2">
      <c r="A566" s="173">
        <v>565</v>
      </c>
      <c r="B566" s="173" t="s">
        <v>4448</v>
      </c>
      <c r="C566" s="175"/>
      <c r="D566" s="175"/>
      <c r="E566" s="173">
        <v>30</v>
      </c>
      <c r="F566" s="173"/>
      <c r="G566" s="173">
        <v>72</v>
      </c>
      <c r="H566" s="173"/>
    </row>
    <row r="567" spans="1:8" x14ac:dyDescent="0.2">
      <c r="A567" s="173">
        <v>566</v>
      </c>
      <c r="B567" s="173" t="s">
        <v>2371</v>
      </c>
      <c r="C567" s="173"/>
      <c r="D567" s="173"/>
      <c r="E567" s="173">
        <v>30</v>
      </c>
      <c r="F567" s="173"/>
      <c r="G567" s="173">
        <v>167</v>
      </c>
      <c r="H567" s="173"/>
    </row>
    <row r="568" spans="1:8" x14ac:dyDescent="0.2">
      <c r="A568" s="173">
        <v>567</v>
      </c>
      <c r="B568" s="173" t="s">
        <v>4458</v>
      </c>
      <c r="C568" s="175"/>
      <c r="D568" s="175"/>
      <c r="E568" s="173">
        <v>30</v>
      </c>
      <c r="F568" s="173"/>
      <c r="G568" s="173">
        <v>626</v>
      </c>
      <c r="H568" s="173"/>
    </row>
    <row r="569" spans="1:8" x14ac:dyDescent="0.2">
      <c r="A569" s="173">
        <v>568</v>
      </c>
      <c r="B569" s="173" t="s">
        <v>1454</v>
      </c>
      <c r="C569" s="173" t="s">
        <v>2165</v>
      </c>
      <c r="D569" s="173"/>
      <c r="E569" s="173">
        <v>24</v>
      </c>
      <c r="F569" s="173">
        <v>277.5</v>
      </c>
      <c r="G569" s="173">
        <v>626</v>
      </c>
      <c r="H569" s="173"/>
    </row>
    <row r="570" spans="1:8" x14ac:dyDescent="0.2">
      <c r="A570" s="173">
        <v>569</v>
      </c>
      <c r="B570" s="173" t="s">
        <v>3195</v>
      </c>
      <c r="C570" s="173"/>
      <c r="D570" s="173"/>
      <c r="E570" s="173">
        <v>31</v>
      </c>
      <c r="F570" s="173"/>
      <c r="G570" s="173">
        <v>743</v>
      </c>
      <c r="H570" s="173"/>
    </row>
    <row r="571" spans="1:8" x14ac:dyDescent="0.2">
      <c r="A571" s="173">
        <v>570</v>
      </c>
      <c r="B571" s="173" t="s">
        <v>3077</v>
      </c>
      <c r="C571" s="173"/>
      <c r="D571" s="173"/>
      <c r="E571" s="173">
        <v>31</v>
      </c>
      <c r="F571" s="173"/>
      <c r="G571" s="173">
        <v>810</v>
      </c>
      <c r="H571" s="173"/>
    </row>
    <row r="572" spans="1:8" x14ac:dyDescent="0.2">
      <c r="A572" s="173">
        <v>571</v>
      </c>
      <c r="B572" s="173" t="s">
        <v>1476</v>
      </c>
      <c r="C572" s="174" t="s">
        <v>2173</v>
      </c>
      <c r="D572" s="174"/>
      <c r="E572" s="173">
        <v>31</v>
      </c>
      <c r="F572" s="173">
        <v>162.5</v>
      </c>
      <c r="G572" s="173">
        <v>356</v>
      </c>
      <c r="H572" s="173"/>
    </row>
    <row r="573" spans="1:8" x14ac:dyDescent="0.2">
      <c r="A573" s="173">
        <v>572</v>
      </c>
      <c r="B573" s="173" t="s">
        <v>1558</v>
      </c>
      <c r="C573" s="173"/>
      <c r="D573" s="173"/>
      <c r="E573" s="173">
        <v>31</v>
      </c>
      <c r="F573" s="173">
        <v>53</v>
      </c>
      <c r="G573" s="173">
        <v>111</v>
      </c>
      <c r="H573" s="173"/>
    </row>
    <row r="574" spans="1:8" x14ac:dyDescent="0.2">
      <c r="A574" s="173">
        <v>573</v>
      </c>
      <c r="B574" s="173" t="s">
        <v>3689</v>
      </c>
      <c r="C574" s="173"/>
      <c r="D574" s="173"/>
      <c r="E574" s="173">
        <v>32</v>
      </c>
      <c r="F574" s="173"/>
      <c r="G574" s="173">
        <v>896</v>
      </c>
      <c r="H574" s="173"/>
    </row>
    <row r="575" spans="1:8" x14ac:dyDescent="0.2">
      <c r="A575" s="173">
        <v>574</v>
      </c>
      <c r="B575" s="173" t="s">
        <v>1613</v>
      </c>
      <c r="C575" s="173"/>
      <c r="D575" s="173"/>
      <c r="E575" s="173">
        <v>32</v>
      </c>
      <c r="F575" s="173"/>
      <c r="G575" s="173" t="s">
        <v>3139</v>
      </c>
      <c r="H575" s="173" t="s">
        <v>669</v>
      </c>
    </row>
    <row r="576" spans="1:8" x14ac:dyDescent="0.2">
      <c r="A576" s="173">
        <v>575</v>
      </c>
      <c r="B576" s="173" t="s">
        <v>1545</v>
      </c>
      <c r="C576" s="173"/>
      <c r="D576" s="173"/>
      <c r="E576" s="173">
        <v>33</v>
      </c>
      <c r="F576" s="173">
        <v>49.5</v>
      </c>
      <c r="G576" s="173">
        <v>106</v>
      </c>
      <c r="H576" s="173"/>
    </row>
    <row r="577" spans="1:8" x14ac:dyDescent="0.2">
      <c r="A577" s="173">
        <v>576</v>
      </c>
      <c r="B577" s="173" t="s">
        <v>1796</v>
      </c>
      <c r="C577" s="173"/>
      <c r="D577" s="173"/>
      <c r="E577" s="173">
        <v>29</v>
      </c>
      <c r="F577" s="173"/>
      <c r="G577" s="173">
        <v>338</v>
      </c>
      <c r="H577" s="173"/>
    </row>
    <row r="578" spans="1:8" x14ac:dyDescent="0.2">
      <c r="A578" s="173">
        <v>577</v>
      </c>
      <c r="B578" s="173" t="s">
        <v>1787</v>
      </c>
      <c r="C578" s="173" t="s">
        <v>2152</v>
      </c>
      <c r="D578" s="173"/>
      <c r="E578" s="173">
        <v>34</v>
      </c>
      <c r="F578" s="173">
        <v>99.5</v>
      </c>
      <c r="G578" s="173">
        <v>230</v>
      </c>
      <c r="H578" s="173"/>
    </row>
    <row r="579" spans="1:8" x14ac:dyDescent="0.2">
      <c r="A579" s="173">
        <v>578</v>
      </c>
      <c r="B579" s="173" t="s">
        <v>1480</v>
      </c>
      <c r="C579" s="173"/>
      <c r="D579" s="173"/>
      <c r="E579" s="173">
        <v>35</v>
      </c>
      <c r="F579" s="173">
        <v>225</v>
      </c>
      <c r="G579" s="173">
        <v>482</v>
      </c>
      <c r="H579" s="173"/>
    </row>
    <row r="580" spans="1:8" x14ac:dyDescent="0.2">
      <c r="A580" s="173">
        <v>579</v>
      </c>
      <c r="B580" s="173" t="s">
        <v>2058</v>
      </c>
      <c r="C580" s="173"/>
      <c r="D580" s="173"/>
      <c r="E580" s="173">
        <v>37</v>
      </c>
      <c r="F580" s="173"/>
      <c r="G580" s="173">
        <v>645</v>
      </c>
      <c r="H580" s="173"/>
    </row>
    <row r="581" spans="1:8" x14ac:dyDescent="0.2">
      <c r="A581" s="173">
        <v>580</v>
      </c>
      <c r="B581" s="173" t="s">
        <v>4276</v>
      </c>
      <c r="C581" s="173"/>
      <c r="D581" s="173"/>
      <c r="E581" s="173">
        <v>37</v>
      </c>
      <c r="F581" s="173"/>
      <c r="G581" s="173">
        <v>419</v>
      </c>
      <c r="H581" s="173"/>
    </row>
    <row r="582" spans="1:8" x14ac:dyDescent="0.2">
      <c r="A582" s="173">
        <v>581</v>
      </c>
      <c r="B582" s="173" t="s">
        <v>1552</v>
      </c>
      <c r="C582" s="173"/>
      <c r="D582" s="173"/>
      <c r="E582" s="173">
        <v>37</v>
      </c>
      <c r="F582" s="173">
        <v>38.5</v>
      </c>
      <c r="G582" s="173">
        <v>86</v>
      </c>
      <c r="H582" s="173"/>
    </row>
    <row r="583" spans="1:8" x14ac:dyDescent="0.2">
      <c r="A583" s="173">
        <v>582</v>
      </c>
      <c r="B583" s="173" t="s">
        <v>1557</v>
      </c>
      <c r="C583" s="173"/>
      <c r="D583" s="173"/>
      <c r="E583" s="173">
        <v>38</v>
      </c>
      <c r="F583" s="173">
        <v>53</v>
      </c>
      <c r="G583" s="173">
        <v>113</v>
      </c>
      <c r="H583" s="173"/>
    </row>
    <row r="584" spans="1:8" x14ac:dyDescent="0.2">
      <c r="A584" s="173">
        <v>583</v>
      </c>
      <c r="B584" s="173" t="s">
        <v>1571</v>
      </c>
      <c r="C584" s="173"/>
      <c r="D584" s="173"/>
      <c r="E584" s="173">
        <v>38</v>
      </c>
      <c r="F584" s="173">
        <v>64.5</v>
      </c>
      <c r="G584" s="173">
        <v>140</v>
      </c>
      <c r="H584" s="173"/>
    </row>
    <row r="585" spans="1:8" x14ac:dyDescent="0.2">
      <c r="A585" s="173">
        <v>584</v>
      </c>
      <c r="B585" s="173" t="s">
        <v>1681</v>
      </c>
      <c r="C585" s="173"/>
      <c r="D585" s="173"/>
      <c r="E585" s="173">
        <v>38</v>
      </c>
      <c r="F585" s="173"/>
      <c r="G585" s="173">
        <v>127</v>
      </c>
      <c r="H585" s="173"/>
    </row>
    <row r="586" spans="1:8" x14ac:dyDescent="0.2">
      <c r="A586" s="173">
        <v>585</v>
      </c>
      <c r="B586" s="173" t="s">
        <v>4014</v>
      </c>
      <c r="C586" s="173"/>
      <c r="D586" s="173"/>
      <c r="E586" s="173">
        <v>38</v>
      </c>
      <c r="F586" s="173"/>
      <c r="G586" s="173">
        <v>149</v>
      </c>
      <c r="H586" s="173"/>
    </row>
    <row r="587" spans="1:8" x14ac:dyDescent="0.2">
      <c r="A587" s="173">
        <v>586</v>
      </c>
      <c r="B587" s="173" t="s">
        <v>3533</v>
      </c>
      <c r="C587" s="173"/>
      <c r="D587" s="173"/>
      <c r="E587" s="173">
        <v>20</v>
      </c>
      <c r="F587" s="173"/>
      <c r="G587" s="173">
        <v>167</v>
      </c>
      <c r="H587" s="173"/>
    </row>
    <row r="588" spans="1:8" x14ac:dyDescent="0.2">
      <c r="A588" s="173">
        <v>587</v>
      </c>
      <c r="B588" s="173" t="s">
        <v>1514</v>
      </c>
      <c r="C588" s="173"/>
      <c r="D588" s="173"/>
      <c r="E588" s="173">
        <v>40</v>
      </c>
      <c r="F588" s="173"/>
      <c r="G588" s="173">
        <v>275</v>
      </c>
      <c r="H588" s="173"/>
    </row>
    <row r="589" spans="1:8" x14ac:dyDescent="0.2">
      <c r="A589" s="173">
        <v>588</v>
      </c>
      <c r="B589" s="173" t="s">
        <v>2786</v>
      </c>
      <c r="C589" s="173" t="s">
        <v>2151</v>
      </c>
      <c r="D589" s="173"/>
      <c r="E589" s="173">
        <v>41</v>
      </c>
      <c r="F589" s="173">
        <v>371.5</v>
      </c>
      <c r="G589" s="173">
        <v>795</v>
      </c>
      <c r="H589" s="173"/>
    </row>
    <row r="590" spans="1:8" x14ac:dyDescent="0.2">
      <c r="A590" s="173">
        <v>589</v>
      </c>
      <c r="B590" s="173" t="s">
        <v>1622</v>
      </c>
      <c r="C590" s="173"/>
      <c r="D590" s="173"/>
      <c r="E590" s="173">
        <v>11</v>
      </c>
      <c r="F590" s="173"/>
      <c r="G590" s="173">
        <v>97</v>
      </c>
      <c r="H590" s="173"/>
    </row>
    <row r="591" spans="1:8" x14ac:dyDescent="0.2">
      <c r="A591" s="173">
        <v>590</v>
      </c>
      <c r="B591" s="173" t="s">
        <v>1573</v>
      </c>
      <c r="C591" s="173"/>
      <c r="D591" s="173"/>
      <c r="E591" s="173">
        <v>42</v>
      </c>
      <c r="F591" s="173">
        <v>85.5</v>
      </c>
      <c r="G591" s="173">
        <v>185</v>
      </c>
      <c r="H591" s="173"/>
    </row>
    <row r="592" spans="1:8" x14ac:dyDescent="0.2">
      <c r="A592" s="173">
        <v>591</v>
      </c>
      <c r="B592" s="173" t="s">
        <v>4277</v>
      </c>
      <c r="C592" s="173"/>
      <c r="D592" s="173"/>
      <c r="E592" s="173">
        <v>42</v>
      </c>
      <c r="F592" s="173"/>
      <c r="G592" s="173">
        <v>419</v>
      </c>
      <c r="H592" s="173"/>
    </row>
    <row r="593" spans="1:8" x14ac:dyDescent="0.2">
      <c r="A593" s="173">
        <v>592</v>
      </c>
      <c r="B593" s="173" t="s">
        <v>3351</v>
      </c>
      <c r="C593" s="173" t="s">
        <v>3352</v>
      </c>
      <c r="D593" s="173"/>
      <c r="E593" s="173">
        <v>53</v>
      </c>
      <c r="F593" s="173"/>
      <c r="G593" s="173">
        <v>554</v>
      </c>
      <c r="H593" s="173"/>
    </row>
    <row r="594" spans="1:8" x14ac:dyDescent="0.2">
      <c r="A594" s="173">
        <v>593</v>
      </c>
      <c r="B594" s="173" t="s">
        <v>1620</v>
      </c>
      <c r="C594" s="173"/>
      <c r="D594" s="173"/>
      <c r="E594" s="173">
        <v>27</v>
      </c>
      <c r="F594" s="173"/>
      <c r="G594" s="173">
        <v>104</v>
      </c>
      <c r="H594" s="173"/>
    </row>
    <row r="595" spans="1:8" x14ac:dyDescent="0.2">
      <c r="A595" s="173">
        <v>594</v>
      </c>
      <c r="B595" s="173" t="s">
        <v>3022</v>
      </c>
      <c r="C595" s="173"/>
      <c r="D595" s="173"/>
      <c r="E595" s="173">
        <v>49</v>
      </c>
      <c r="F595" s="173"/>
      <c r="G595" s="173">
        <v>122</v>
      </c>
      <c r="H595" s="173"/>
    </row>
    <row r="596" spans="1:8" x14ac:dyDescent="0.2">
      <c r="A596" s="173">
        <v>595</v>
      </c>
      <c r="B596" s="173" t="s">
        <v>1548</v>
      </c>
      <c r="C596" s="173"/>
      <c r="D596" s="173"/>
      <c r="E596" s="173">
        <v>51</v>
      </c>
      <c r="F596" s="173">
        <v>56.5</v>
      </c>
      <c r="G596" s="173">
        <f>F596*2</f>
        <v>113</v>
      </c>
      <c r="H596" s="173"/>
    </row>
    <row r="597" spans="1:8" x14ac:dyDescent="0.2">
      <c r="A597" s="173">
        <v>596</v>
      </c>
      <c r="B597" s="173" t="s">
        <v>1497</v>
      </c>
      <c r="C597" s="173"/>
      <c r="D597" s="173"/>
      <c r="E597" s="173">
        <v>48</v>
      </c>
      <c r="F597" s="173">
        <v>376</v>
      </c>
      <c r="G597" s="173">
        <v>770</v>
      </c>
      <c r="H597" s="173"/>
    </row>
    <row r="598" spans="1:8" x14ac:dyDescent="0.2">
      <c r="A598" s="173">
        <v>597</v>
      </c>
      <c r="B598" s="173" t="s">
        <v>1546</v>
      </c>
      <c r="C598" s="173"/>
      <c r="D598" s="173"/>
      <c r="E598" s="173">
        <v>53</v>
      </c>
      <c r="F598" s="173">
        <v>48.5</v>
      </c>
      <c r="G598" s="173">
        <f>F598*2</f>
        <v>97</v>
      </c>
      <c r="H598" s="173"/>
    </row>
    <row r="599" spans="1:8" x14ac:dyDescent="0.2">
      <c r="A599" s="173">
        <v>598</v>
      </c>
      <c r="B599" s="173" t="s">
        <v>1486</v>
      </c>
      <c r="C599" s="173"/>
      <c r="D599" s="173"/>
      <c r="E599" s="173">
        <v>54</v>
      </c>
      <c r="F599" s="173">
        <v>331</v>
      </c>
      <c r="G599" s="173">
        <v>716</v>
      </c>
      <c r="H599" s="173"/>
    </row>
    <row r="600" spans="1:8" x14ac:dyDescent="0.2">
      <c r="A600" s="173">
        <v>599</v>
      </c>
      <c r="B600" s="173" t="s">
        <v>1554</v>
      </c>
      <c r="C600" s="173"/>
      <c r="D600" s="173"/>
      <c r="E600" s="173">
        <v>60</v>
      </c>
      <c r="F600" s="173">
        <v>39.5</v>
      </c>
      <c r="G600" s="173">
        <v>97</v>
      </c>
      <c r="H600" s="173"/>
    </row>
    <row r="601" spans="1:8" x14ac:dyDescent="0.2">
      <c r="A601" s="173">
        <v>600</v>
      </c>
      <c r="B601" s="173" t="s">
        <v>4244</v>
      </c>
      <c r="C601" s="173"/>
      <c r="D601" s="173"/>
      <c r="E601" s="173">
        <v>52</v>
      </c>
      <c r="F601" s="173"/>
      <c r="G601" s="173">
        <v>212</v>
      </c>
      <c r="H601" s="173"/>
    </row>
    <row r="602" spans="1:8" x14ac:dyDescent="0.2">
      <c r="A602" s="173">
        <v>601</v>
      </c>
      <c r="B602" s="173" t="s">
        <v>1556</v>
      </c>
      <c r="C602" s="173"/>
      <c r="D602" s="173"/>
      <c r="E602" s="173">
        <v>78</v>
      </c>
      <c r="F602" s="173">
        <v>43</v>
      </c>
      <c r="G602" s="173">
        <v>88</v>
      </c>
      <c r="H602" s="173"/>
    </row>
    <row r="603" spans="1:8" x14ac:dyDescent="0.2">
      <c r="A603" s="173">
        <v>602</v>
      </c>
      <c r="B603" s="173" t="s">
        <v>4641</v>
      </c>
      <c r="C603" s="173"/>
      <c r="D603" s="173"/>
      <c r="E603" s="173">
        <v>4</v>
      </c>
      <c r="F603" s="173"/>
      <c r="G603" s="173">
        <v>2948</v>
      </c>
      <c r="H603" s="173"/>
    </row>
    <row r="604" spans="1:8" x14ac:dyDescent="0.2">
      <c r="A604" s="173">
        <v>603</v>
      </c>
      <c r="B604" s="173"/>
      <c r="C604" s="173"/>
      <c r="D604" s="173"/>
      <c r="E604" s="173"/>
      <c r="F604" s="173"/>
      <c r="G604" s="173"/>
      <c r="H604" s="173"/>
    </row>
    <row r="605" spans="1:8" x14ac:dyDescent="0.2">
      <c r="A605" s="173">
        <v>604</v>
      </c>
      <c r="B605" s="173" t="s">
        <v>4603</v>
      </c>
      <c r="C605" s="173"/>
      <c r="D605" s="173"/>
      <c r="E605" s="173"/>
      <c r="F605" s="173"/>
      <c r="G605" s="173"/>
      <c r="H605" s="173"/>
    </row>
    <row r="606" spans="1:8" x14ac:dyDescent="0.2">
      <c r="A606" s="173">
        <v>605</v>
      </c>
      <c r="B606" s="173" t="s">
        <v>3573</v>
      </c>
      <c r="C606" s="173"/>
      <c r="D606" s="173"/>
      <c r="E606" s="173"/>
      <c r="F606" s="173"/>
      <c r="G606" s="173"/>
      <c r="H606" s="173"/>
    </row>
    <row r="607" spans="1:8" x14ac:dyDescent="0.2">
      <c r="A607" s="173">
        <v>606</v>
      </c>
      <c r="B607" s="173" t="s">
        <v>3603</v>
      </c>
      <c r="C607" s="173"/>
      <c r="D607" s="173"/>
      <c r="E607" s="173"/>
      <c r="F607" s="173"/>
      <c r="G607" s="173"/>
      <c r="H607" s="173"/>
    </row>
    <row r="608" spans="1:8" x14ac:dyDescent="0.2">
      <c r="A608" s="173">
        <v>607</v>
      </c>
      <c r="B608" s="173" t="s">
        <v>3815</v>
      </c>
      <c r="C608" s="173"/>
      <c r="D608" s="173"/>
      <c r="E608" s="173"/>
      <c r="F608" s="173"/>
      <c r="G608" s="173"/>
      <c r="H608" s="173"/>
    </row>
  </sheetData>
  <autoFilter ref="A1:H1" xr:uid="{00000000-0009-0000-0000-00000B000000}">
    <sortState xmlns:xlrd2="http://schemas.microsoft.com/office/spreadsheetml/2017/richdata2"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5"/>
  <sheetViews>
    <sheetView tabSelected="1" zoomScale="110" zoomScaleNormal="110" workbookViewId="0">
      <pane ySplit="1" topLeftCell="A2" activePane="bottomLeft" state="frozen"/>
      <selection pane="bottomLeft" activeCell="C12" sqref="C12"/>
    </sheetView>
  </sheetViews>
  <sheetFormatPr defaultColWidth="9.140625" defaultRowHeight="15" x14ac:dyDescent="0.2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 x14ac:dyDescent="0.25">
      <c r="A1" s="91" t="s">
        <v>592</v>
      </c>
      <c r="B1" s="91" t="s">
        <v>449</v>
      </c>
      <c r="C1" s="91" t="s">
        <v>4654</v>
      </c>
      <c r="D1" s="91" t="s">
        <v>593</v>
      </c>
      <c r="E1" s="92" t="s">
        <v>594</v>
      </c>
      <c r="F1" s="91" t="s">
        <v>595</v>
      </c>
      <c r="G1" s="177" t="s">
        <v>722</v>
      </c>
      <c r="I1" s="7" t="s">
        <v>3837</v>
      </c>
    </row>
    <row r="2" spans="1:9" x14ac:dyDescent="0.25">
      <c r="A2" s="7">
        <v>1</v>
      </c>
      <c r="B2" s="7" t="s">
        <v>1638</v>
      </c>
      <c r="C2" s="7" t="s">
        <v>3917</v>
      </c>
      <c r="E2" s="7">
        <v>48</v>
      </c>
      <c r="F2" s="7">
        <v>362</v>
      </c>
      <c r="G2" s="7">
        <v>186</v>
      </c>
    </row>
    <row r="3" spans="1:9" x14ac:dyDescent="0.25">
      <c r="A3" s="7">
        <v>2</v>
      </c>
      <c r="B3" s="7" t="s">
        <v>1626</v>
      </c>
      <c r="C3" s="7" t="s">
        <v>1639</v>
      </c>
      <c r="E3" s="7">
        <v>31</v>
      </c>
      <c r="F3" s="7">
        <v>527</v>
      </c>
      <c r="G3" s="7">
        <v>261</v>
      </c>
    </row>
    <row r="4" spans="1:9" x14ac:dyDescent="0.25">
      <c r="A4" s="7">
        <v>3</v>
      </c>
      <c r="B4" s="7" t="s">
        <v>1627</v>
      </c>
      <c r="C4" s="7" t="s">
        <v>1644</v>
      </c>
      <c r="E4" s="7">
        <v>35</v>
      </c>
      <c r="F4" s="7" t="s">
        <v>2838</v>
      </c>
      <c r="G4" s="7" t="s">
        <v>2839</v>
      </c>
    </row>
    <row r="5" spans="1:9" x14ac:dyDescent="0.25">
      <c r="A5" s="7">
        <v>4</v>
      </c>
      <c r="B5" s="7" t="s">
        <v>1628</v>
      </c>
      <c r="C5" s="7" t="s">
        <v>1645</v>
      </c>
      <c r="E5" s="7">
        <v>38</v>
      </c>
      <c r="F5" s="7">
        <v>196</v>
      </c>
      <c r="G5" s="7">
        <v>108</v>
      </c>
    </row>
    <row r="6" spans="1:9" x14ac:dyDescent="0.25">
      <c r="A6" s="7">
        <v>5</v>
      </c>
      <c r="B6" s="7" t="s">
        <v>1629</v>
      </c>
      <c r="C6" s="7" t="s">
        <v>1640</v>
      </c>
      <c r="E6" s="7">
        <v>12</v>
      </c>
      <c r="F6" s="7">
        <v>359</v>
      </c>
      <c r="G6" s="7">
        <v>172</v>
      </c>
    </row>
    <row r="7" spans="1:9" x14ac:dyDescent="0.25">
      <c r="A7" s="7">
        <v>6</v>
      </c>
      <c r="B7" s="7" t="s">
        <v>1630</v>
      </c>
      <c r="C7" s="7" t="s">
        <v>1641</v>
      </c>
      <c r="E7" s="7">
        <v>43</v>
      </c>
      <c r="F7" s="7">
        <v>347</v>
      </c>
      <c r="G7" s="7">
        <v>185</v>
      </c>
    </row>
    <row r="8" spans="1:9" x14ac:dyDescent="0.25">
      <c r="A8" s="7">
        <v>7</v>
      </c>
      <c r="B8" s="7" t="s">
        <v>1631</v>
      </c>
      <c r="C8" s="7" t="s">
        <v>1642</v>
      </c>
      <c r="E8" s="7">
        <v>0</v>
      </c>
      <c r="F8" s="7">
        <v>444</v>
      </c>
      <c r="G8" s="7">
        <v>183</v>
      </c>
    </row>
    <row r="9" spans="1:9" x14ac:dyDescent="0.25">
      <c r="A9" s="7">
        <v>8</v>
      </c>
      <c r="B9" s="7" t="s">
        <v>1632</v>
      </c>
      <c r="C9" s="7" t="s">
        <v>1646</v>
      </c>
      <c r="E9" s="7">
        <v>6</v>
      </c>
      <c r="F9" s="7">
        <v>271</v>
      </c>
      <c r="G9" s="7">
        <v>134</v>
      </c>
    </row>
    <row r="10" spans="1:9" x14ac:dyDescent="0.25">
      <c r="A10" s="7">
        <v>9</v>
      </c>
      <c r="B10" s="7" t="s">
        <v>1633</v>
      </c>
      <c r="C10" s="7" t="s">
        <v>1637</v>
      </c>
      <c r="E10" s="7">
        <v>0</v>
      </c>
      <c r="F10" s="7">
        <v>539</v>
      </c>
      <c r="G10" s="7">
        <v>320</v>
      </c>
    </row>
    <row r="11" spans="1:9" x14ac:dyDescent="0.25">
      <c r="A11" s="7">
        <v>10</v>
      </c>
      <c r="B11" s="7" t="s">
        <v>1634</v>
      </c>
      <c r="C11" s="7" t="s">
        <v>1643</v>
      </c>
      <c r="E11" s="7">
        <v>0</v>
      </c>
      <c r="F11" s="7">
        <v>440</v>
      </c>
      <c r="G11" s="7">
        <v>264</v>
      </c>
    </row>
    <row r="12" spans="1:9" x14ac:dyDescent="0.25">
      <c r="A12" s="7">
        <v>11</v>
      </c>
      <c r="B12" s="7" t="s">
        <v>1635</v>
      </c>
      <c r="C12" s="7" t="s">
        <v>1649</v>
      </c>
      <c r="E12" s="7">
        <v>234</v>
      </c>
      <c r="F12" s="7">
        <v>66</v>
      </c>
      <c r="G12" s="7">
        <v>35</v>
      </c>
    </row>
    <row r="13" spans="1:9" x14ac:dyDescent="0.25">
      <c r="A13" s="7">
        <v>12</v>
      </c>
      <c r="B13" s="7" t="s">
        <v>1636</v>
      </c>
      <c r="C13" s="7" t="s">
        <v>1647</v>
      </c>
      <c r="E13" s="7">
        <v>8</v>
      </c>
      <c r="F13" s="7">
        <v>181</v>
      </c>
      <c r="G13" s="7">
        <v>106</v>
      </c>
    </row>
    <row r="14" spans="1:9" x14ac:dyDescent="0.25">
      <c r="A14" s="7">
        <v>13</v>
      </c>
      <c r="B14" s="7" t="s">
        <v>3102</v>
      </c>
      <c r="C14" s="7" t="s">
        <v>3178</v>
      </c>
      <c r="E14" s="7">
        <v>49</v>
      </c>
      <c r="G14" s="7">
        <v>38</v>
      </c>
    </row>
    <row r="15" spans="1:9" x14ac:dyDescent="0.25">
      <c r="A15" s="7">
        <v>14</v>
      </c>
      <c r="B15" s="7" t="s">
        <v>3103</v>
      </c>
      <c r="C15" s="7" t="s">
        <v>3179</v>
      </c>
      <c r="E15" s="7">
        <v>20</v>
      </c>
      <c r="G15" s="7">
        <v>35</v>
      </c>
    </row>
    <row r="16" spans="1:9" x14ac:dyDescent="0.25">
      <c r="A16" s="7">
        <v>15</v>
      </c>
      <c r="B16" s="7" t="s">
        <v>3104</v>
      </c>
      <c r="C16" s="7" t="s">
        <v>3180</v>
      </c>
      <c r="E16" s="7">
        <v>25</v>
      </c>
      <c r="G16" s="7">
        <v>184</v>
      </c>
    </row>
    <row r="17" spans="1:7" x14ac:dyDescent="0.25">
      <c r="A17" s="7">
        <v>16</v>
      </c>
      <c r="B17" s="7" t="s">
        <v>3105</v>
      </c>
      <c r="C17" s="7" t="s">
        <v>3181</v>
      </c>
      <c r="E17" s="7">
        <v>15</v>
      </c>
      <c r="G17" s="7">
        <v>57</v>
      </c>
    </row>
    <row r="18" spans="1:7" x14ac:dyDescent="0.25">
      <c r="A18" s="7">
        <v>17</v>
      </c>
      <c r="B18" s="7" t="s">
        <v>3106</v>
      </c>
      <c r="C18" s="7" t="s">
        <v>3182</v>
      </c>
      <c r="E18" s="7">
        <v>70</v>
      </c>
      <c r="G18" s="7">
        <v>36</v>
      </c>
    </row>
    <row r="19" spans="1:7" x14ac:dyDescent="0.25">
      <c r="A19" s="7">
        <v>18</v>
      </c>
      <c r="B19" s="7" t="s">
        <v>3107</v>
      </c>
      <c r="C19" s="7" t="s">
        <v>3123</v>
      </c>
      <c r="E19" s="7">
        <v>0</v>
      </c>
      <c r="G19" s="7">
        <v>203</v>
      </c>
    </row>
    <row r="20" spans="1:7" x14ac:dyDescent="0.25">
      <c r="A20" s="7">
        <v>19</v>
      </c>
      <c r="B20" s="7" t="s">
        <v>3156</v>
      </c>
      <c r="C20" s="7" t="s">
        <v>3183</v>
      </c>
      <c r="E20" s="7">
        <v>50</v>
      </c>
    </row>
    <row r="21" spans="1:7" x14ac:dyDescent="0.25">
      <c r="A21" s="7">
        <v>20</v>
      </c>
      <c r="B21" s="7" t="s">
        <v>3285</v>
      </c>
      <c r="C21" s="7" t="s">
        <v>3293</v>
      </c>
      <c r="E21" s="7">
        <v>8</v>
      </c>
      <c r="G21" s="7">
        <v>130</v>
      </c>
    </row>
    <row r="22" spans="1:7" x14ac:dyDescent="0.25">
      <c r="A22" s="7">
        <v>21</v>
      </c>
      <c r="B22" s="7" t="s">
        <v>3286</v>
      </c>
      <c r="C22" s="7" t="s">
        <v>3292</v>
      </c>
      <c r="E22" s="7">
        <v>7</v>
      </c>
      <c r="G22" s="7">
        <v>89</v>
      </c>
    </row>
    <row r="23" spans="1:7" x14ac:dyDescent="0.25">
      <c r="A23" s="7">
        <v>22</v>
      </c>
      <c r="B23" s="7" t="s">
        <v>3287</v>
      </c>
      <c r="C23" s="7" t="s">
        <v>2438</v>
      </c>
      <c r="E23" s="7">
        <v>30</v>
      </c>
      <c r="G23" s="7">
        <v>193</v>
      </c>
    </row>
    <row r="24" spans="1:7" x14ac:dyDescent="0.25">
      <c r="A24" s="7">
        <v>23</v>
      </c>
      <c r="B24" s="7" t="s">
        <v>3288</v>
      </c>
      <c r="C24" s="7" t="s">
        <v>3294</v>
      </c>
      <c r="E24" s="7">
        <v>30</v>
      </c>
      <c r="G24" s="7">
        <v>192</v>
      </c>
    </row>
    <row r="25" spans="1:7" x14ac:dyDescent="0.25">
      <c r="A25" s="7">
        <v>24</v>
      </c>
      <c r="B25" s="7" t="s">
        <v>3899</v>
      </c>
      <c r="C25" s="7" t="s">
        <v>3900</v>
      </c>
    </row>
  </sheetData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F224"/>
  <sheetViews>
    <sheetView topLeftCell="A76" zoomScale="110" zoomScaleNormal="110" workbookViewId="0">
      <selection activeCell="C83" sqref="C83"/>
    </sheetView>
  </sheetViews>
  <sheetFormatPr defaultRowHeight="15" x14ac:dyDescent="0.25"/>
  <cols>
    <col min="2" max="2" width="15.85546875" customWidth="1"/>
    <col min="3" max="3" width="49" customWidth="1"/>
  </cols>
  <sheetData>
    <row r="1" spans="1:5" s="3" customFormat="1" x14ac:dyDescent="0.25"/>
    <row r="2" spans="1:5" s="3" customFormat="1" ht="18" x14ac:dyDescent="0.25">
      <c r="C2" s="66" t="s">
        <v>1665</v>
      </c>
    </row>
    <row r="3" spans="1:5" s="3" customFormat="1" ht="15.75" x14ac:dyDescent="0.25">
      <c r="C3" s="48"/>
    </row>
    <row r="4" spans="1:5" s="3" customFormat="1" ht="15.75" x14ac:dyDescent="0.25">
      <c r="C4" s="48"/>
    </row>
    <row r="5" spans="1:5" s="3" customFormat="1" ht="21" x14ac:dyDescent="0.35">
      <c r="C5" s="1" t="s">
        <v>1869</v>
      </c>
    </row>
    <row r="6" spans="1:5" s="3" customFormat="1" x14ac:dyDescent="0.25"/>
    <row r="7" spans="1:5" s="3" customFormat="1" x14ac:dyDescent="0.25"/>
    <row r="8" spans="1:5" ht="15.75" x14ac:dyDescent="0.25">
      <c r="A8" s="7">
        <v>1</v>
      </c>
      <c r="B8" s="60" t="s">
        <v>1667</v>
      </c>
      <c r="C8" s="60" t="s">
        <v>1731</v>
      </c>
      <c r="D8" s="60">
        <v>7</v>
      </c>
      <c r="E8" s="60">
        <v>301</v>
      </c>
    </row>
    <row r="9" spans="1:5" s="3" customFormat="1" ht="15.75" x14ac:dyDescent="0.25">
      <c r="A9" s="7"/>
      <c r="B9" s="60" t="s">
        <v>4311</v>
      </c>
      <c r="C9" s="60"/>
      <c r="D9" s="60">
        <v>0</v>
      </c>
      <c r="E9" s="60"/>
    </row>
    <row r="10" spans="1:5" s="3" customFormat="1" ht="15.75" x14ac:dyDescent="0.25">
      <c r="A10" s="7">
        <v>2</v>
      </c>
      <c r="B10" s="60" t="s">
        <v>1738</v>
      </c>
      <c r="C10" s="60" t="s">
        <v>1865</v>
      </c>
      <c r="D10" s="60">
        <v>2</v>
      </c>
      <c r="E10" s="60">
        <v>205</v>
      </c>
    </row>
    <row r="11" spans="1:5" s="3" customFormat="1" ht="15.75" x14ac:dyDescent="0.25">
      <c r="A11" s="7">
        <v>3</v>
      </c>
      <c r="B11" s="60" t="s">
        <v>1739</v>
      </c>
      <c r="C11" s="60" t="s">
        <v>1868</v>
      </c>
      <c r="D11" s="60">
        <v>5</v>
      </c>
      <c r="E11" s="60">
        <v>259</v>
      </c>
    </row>
    <row r="12" spans="1:5" s="3" customFormat="1" ht="15.75" x14ac:dyDescent="0.25">
      <c r="A12" s="7">
        <v>4</v>
      </c>
      <c r="B12" s="60" t="s">
        <v>1819</v>
      </c>
      <c r="C12" s="60" t="s">
        <v>1866</v>
      </c>
      <c r="D12" s="60">
        <v>0</v>
      </c>
      <c r="E12" s="60">
        <v>467</v>
      </c>
    </row>
    <row r="13" spans="1:5" s="3" customFormat="1" ht="15.75" x14ac:dyDescent="0.25">
      <c r="A13" s="7">
        <v>5</v>
      </c>
      <c r="B13" s="60" t="s">
        <v>1820</v>
      </c>
      <c r="C13" s="60" t="s">
        <v>1821</v>
      </c>
      <c r="D13" s="60">
        <v>5</v>
      </c>
      <c r="E13" s="60">
        <v>366</v>
      </c>
    </row>
    <row r="14" spans="1:5" s="3" customFormat="1" ht="15.75" x14ac:dyDescent="0.25">
      <c r="A14" s="7">
        <v>6</v>
      </c>
      <c r="B14" s="60" t="s">
        <v>1711</v>
      </c>
      <c r="C14" s="60" t="s">
        <v>1864</v>
      </c>
      <c r="D14" s="60">
        <v>16</v>
      </c>
      <c r="E14" s="60">
        <v>375</v>
      </c>
    </row>
    <row r="15" spans="1:5" s="3" customFormat="1" ht="15.75" x14ac:dyDescent="0.25">
      <c r="A15" s="7">
        <v>7</v>
      </c>
      <c r="B15" s="60" t="s">
        <v>1828</v>
      </c>
      <c r="C15" s="60" t="s">
        <v>1829</v>
      </c>
      <c r="D15" s="60">
        <v>3</v>
      </c>
      <c r="E15" s="60">
        <v>322</v>
      </c>
    </row>
    <row r="16" spans="1:5" ht="15.75" x14ac:dyDescent="0.25">
      <c r="A16" s="7">
        <v>8</v>
      </c>
      <c r="B16" s="60" t="s">
        <v>1719</v>
      </c>
      <c r="C16" s="60" t="s">
        <v>1730</v>
      </c>
      <c r="D16" s="60">
        <v>10</v>
      </c>
      <c r="E16" s="60">
        <v>269</v>
      </c>
    </row>
    <row r="17" spans="1:5" s="3" customFormat="1" ht="15.75" x14ac:dyDescent="0.25">
      <c r="A17" s="7">
        <v>9</v>
      </c>
      <c r="B17" s="60" t="s">
        <v>1736</v>
      </c>
      <c r="C17" s="60" t="s">
        <v>1858</v>
      </c>
      <c r="D17" s="60">
        <v>11</v>
      </c>
      <c r="E17" s="60">
        <v>266</v>
      </c>
    </row>
    <row r="18" spans="1:5" s="3" customFormat="1" ht="15.75" x14ac:dyDescent="0.25">
      <c r="A18" s="7">
        <v>10</v>
      </c>
      <c r="B18" s="60" t="s">
        <v>1816</v>
      </c>
      <c r="C18" s="60" t="s">
        <v>1817</v>
      </c>
      <c r="D18" s="60">
        <v>23</v>
      </c>
      <c r="E18" s="60">
        <v>255</v>
      </c>
    </row>
    <row r="19" spans="1:5" s="3" customFormat="1" ht="15.75" x14ac:dyDescent="0.25">
      <c r="A19" s="7">
        <v>11</v>
      </c>
      <c r="B19" s="60" t="s">
        <v>1818</v>
      </c>
      <c r="C19" s="60" t="s">
        <v>1857</v>
      </c>
      <c r="D19" s="60">
        <v>11</v>
      </c>
      <c r="E19" s="60">
        <v>297</v>
      </c>
    </row>
    <row r="20" spans="1:5" s="3" customFormat="1" ht="15.75" x14ac:dyDescent="0.25">
      <c r="A20" s="7">
        <v>12</v>
      </c>
      <c r="B20" s="60" t="s">
        <v>1840</v>
      </c>
      <c r="C20" s="60" t="s">
        <v>1856</v>
      </c>
      <c r="D20" s="60">
        <v>10</v>
      </c>
      <c r="E20" s="60">
        <v>322</v>
      </c>
    </row>
    <row r="21" spans="1:5" ht="15.75" x14ac:dyDescent="0.25">
      <c r="A21" s="7">
        <v>13</v>
      </c>
      <c r="B21" s="60" t="s">
        <v>1722</v>
      </c>
      <c r="C21" s="60" t="s">
        <v>1723</v>
      </c>
      <c r="D21" s="60">
        <v>18</v>
      </c>
      <c r="E21" s="60">
        <v>229</v>
      </c>
    </row>
    <row r="22" spans="1:5" s="3" customFormat="1" ht="15.75" x14ac:dyDescent="0.25">
      <c r="A22" s="7"/>
      <c r="B22" s="60" t="s">
        <v>3901</v>
      </c>
      <c r="C22" s="60"/>
      <c r="D22" s="60"/>
      <c r="E22" s="60"/>
    </row>
    <row r="23" spans="1:5" ht="15.75" x14ac:dyDescent="0.25">
      <c r="A23" s="7">
        <v>14</v>
      </c>
      <c r="B23" s="60" t="s">
        <v>1724</v>
      </c>
      <c r="C23" s="60" t="s">
        <v>1860</v>
      </c>
      <c r="D23" s="60">
        <v>11</v>
      </c>
      <c r="E23" s="60">
        <v>280</v>
      </c>
    </row>
    <row r="24" spans="1:5" s="3" customFormat="1" ht="15.75" x14ac:dyDescent="0.25">
      <c r="A24" s="7">
        <v>15</v>
      </c>
      <c r="B24" s="60" t="s">
        <v>1824</v>
      </c>
      <c r="C24" s="60" t="s">
        <v>1859</v>
      </c>
      <c r="D24" s="60">
        <v>14</v>
      </c>
      <c r="E24" s="60">
        <v>310</v>
      </c>
    </row>
    <row r="25" spans="1:5" ht="15.75" x14ac:dyDescent="0.25">
      <c r="A25" s="7">
        <v>16</v>
      </c>
      <c r="B25" s="60" t="s">
        <v>1725</v>
      </c>
      <c r="C25" s="60" t="s">
        <v>1861</v>
      </c>
      <c r="D25" s="60">
        <v>12</v>
      </c>
      <c r="E25" s="60" t="s">
        <v>2373</v>
      </c>
    </row>
    <row r="26" spans="1:5" ht="15.75" x14ac:dyDescent="0.25">
      <c r="A26" s="7">
        <v>17</v>
      </c>
      <c r="B26" s="60" t="s">
        <v>1726</v>
      </c>
      <c r="C26" s="60" t="s">
        <v>1862</v>
      </c>
      <c r="D26" s="60">
        <v>20</v>
      </c>
      <c r="E26" s="60">
        <v>315</v>
      </c>
    </row>
    <row r="27" spans="1:5" ht="15.75" x14ac:dyDescent="0.25">
      <c r="A27" s="7">
        <v>18</v>
      </c>
      <c r="B27" s="60" t="s">
        <v>1728</v>
      </c>
      <c r="C27" s="60" t="s">
        <v>1729</v>
      </c>
      <c r="D27" s="60">
        <v>4</v>
      </c>
      <c r="E27" s="60">
        <v>439</v>
      </c>
    </row>
    <row r="28" spans="1:5" s="3" customFormat="1" ht="15.75" x14ac:dyDescent="0.25">
      <c r="A28" s="7">
        <v>19</v>
      </c>
      <c r="B28" s="60" t="s">
        <v>1775</v>
      </c>
      <c r="C28" s="60" t="s">
        <v>1834</v>
      </c>
      <c r="D28" s="60">
        <v>16</v>
      </c>
      <c r="E28" s="60">
        <v>455</v>
      </c>
    </row>
    <row r="29" spans="1:5" ht="15.75" x14ac:dyDescent="0.25">
      <c r="A29" s="7">
        <v>20</v>
      </c>
      <c r="B29" s="60" t="s">
        <v>1734</v>
      </c>
      <c r="C29" s="60" t="s">
        <v>1867</v>
      </c>
      <c r="D29" s="60">
        <v>13</v>
      </c>
      <c r="E29" s="60">
        <v>284</v>
      </c>
    </row>
    <row r="30" spans="1:5" ht="15.75" x14ac:dyDescent="0.25">
      <c r="A30" s="7">
        <v>21</v>
      </c>
      <c r="B30" s="60" t="s">
        <v>1727</v>
      </c>
      <c r="C30" s="60" t="s">
        <v>2263</v>
      </c>
      <c r="D30" s="60">
        <v>0</v>
      </c>
      <c r="E30" s="60">
        <v>261</v>
      </c>
    </row>
    <row r="31" spans="1:5" ht="15.75" x14ac:dyDescent="0.25">
      <c r="A31" s="7">
        <v>22</v>
      </c>
      <c r="B31" s="60" t="s">
        <v>1822</v>
      </c>
      <c r="C31" s="60" t="s">
        <v>1823</v>
      </c>
      <c r="D31" s="60">
        <v>10</v>
      </c>
      <c r="E31" s="60">
        <v>353</v>
      </c>
    </row>
    <row r="32" spans="1:5" ht="15.75" x14ac:dyDescent="0.25">
      <c r="A32" s="7">
        <v>23</v>
      </c>
      <c r="B32" s="60" t="s">
        <v>1842</v>
      </c>
      <c r="C32" s="60" t="s">
        <v>1843</v>
      </c>
      <c r="D32" s="60">
        <v>6</v>
      </c>
      <c r="E32" s="60">
        <v>347</v>
      </c>
    </row>
    <row r="33" spans="1:5" ht="15.75" x14ac:dyDescent="0.25">
      <c r="A33" s="7">
        <v>24</v>
      </c>
      <c r="B33" s="60" t="s">
        <v>1841</v>
      </c>
      <c r="C33" s="60" t="s">
        <v>1863</v>
      </c>
      <c r="D33" s="60">
        <v>10</v>
      </c>
      <c r="E33" s="60">
        <v>324</v>
      </c>
    </row>
    <row r="34" spans="1:5" ht="15.75" x14ac:dyDescent="0.25">
      <c r="A34" s="7">
        <v>25</v>
      </c>
      <c r="B34" s="60" t="s">
        <v>1854</v>
      </c>
      <c r="C34" s="60" t="s">
        <v>1855</v>
      </c>
      <c r="D34" s="60">
        <v>5</v>
      </c>
      <c r="E34" s="60">
        <v>301</v>
      </c>
    </row>
    <row r="35" spans="1:5" ht="15.75" x14ac:dyDescent="0.25">
      <c r="A35" s="7">
        <v>26</v>
      </c>
      <c r="B35" s="60" t="s">
        <v>1871</v>
      </c>
      <c r="C35" s="60" t="s">
        <v>1870</v>
      </c>
      <c r="D35" s="60">
        <v>8</v>
      </c>
      <c r="E35" s="60">
        <v>345</v>
      </c>
    </row>
    <row r="36" spans="1:5" s="3" customFormat="1" ht="15.75" x14ac:dyDescent="0.25">
      <c r="A36" s="7">
        <v>27</v>
      </c>
      <c r="B36" s="60" t="s">
        <v>1872</v>
      </c>
      <c r="C36" s="60" t="s">
        <v>3711</v>
      </c>
      <c r="D36" s="60">
        <v>8</v>
      </c>
      <c r="E36" s="60">
        <v>289</v>
      </c>
    </row>
    <row r="37" spans="1:5" s="3" customFormat="1" ht="15.75" x14ac:dyDescent="0.25">
      <c r="A37" s="7">
        <v>28</v>
      </c>
      <c r="B37" s="60" t="s">
        <v>2054</v>
      </c>
      <c r="C37" s="57" t="s">
        <v>2646</v>
      </c>
      <c r="D37" s="60">
        <v>2</v>
      </c>
      <c r="E37" s="60">
        <v>366</v>
      </c>
    </row>
    <row r="38" spans="1:5" s="3" customFormat="1" ht="15.75" x14ac:dyDescent="0.25">
      <c r="A38" s="7">
        <v>29</v>
      </c>
      <c r="B38" s="60" t="s">
        <v>2055</v>
      </c>
      <c r="C38" s="57" t="s">
        <v>2105</v>
      </c>
      <c r="D38" s="60">
        <v>21</v>
      </c>
      <c r="E38" s="60">
        <v>198</v>
      </c>
    </row>
    <row r="39" spans="1:5" s="3" customFormat="1" ht="15.75" x14ac:dyDescent="0.25">
      <c r="A39" s="7">
        <v>30</v>
      </c>
      <c r="B39" s="60" t="s">
        <v>2059</v>
      </c>
      <c r="C39" s="57" t="s">
        <v>2106</v>
      </c>
      <c r="D39" s="60">
        <v>20</v>
      </c>
      <c r="E39" s="60">
        <v>233</v>
      </c>
    </row>
    <row r="40" spans="1:5" s="3" customFormat="1" ht="15.75" x14ac:dyDescent="0.25">
      <c r="A40" s="7">
        <v>31</v>
      </c>
      <c r="B40" s="60" t="s">
        <v>2060</v>
      </c>
      <c r="C40" s="57" t="s">
        <v>2107</v>
      </c>
      <c r="D40" s="60">
        <v>4</v>
      </c>
      <c r="E40" s="60">
        <v>203</v>
      </c>
    </row>
    <row r="41" spans="1:5" s="3" customFormat="1" x14ac:dyDescent="0.25">
      <c r="A41" s="7">
        <v>32</v>
      </c>
      <c r="B41" s="7" t="s">
        <v>1903</v>
      </c>
      <c r="C41" s="57" t="s">
        <v>2117</v>
      </c>
      <c r="D41" s="7">
        <v>7</v>
      </c>
      <c r="E41" s="7">
        <v>303</v>
      </c>
    </row>
    <row r="42" spans="1:5" s="3" customFormat="1" x14ac:dyDescent="0.25">
      <c r="A42" s="7">
        <v>33</v>
      </c>
      <c r="B42" s="7" t="s">
        <v>1904</v>
      </c>
      <c r="C42" s="57" t="s">
        <v>2118</v>
      </c>
      <c r="D42" s="7">
        <v>2</v>
      </c>
      <c r="E42" s="7">
        <v>550</v>
      </c>
    </row>
    <row r="43" spans="1:5" s="3" customFormat="1" x14ac:dyDescent="0.25">
      <c r="A43" s="7">
        <v>34</v>
      </c>
      <c r="B43" s="7" t="s">
        <v>1974</v>
      </c>
      <c r="C43" s="57" t="s">
        <v>2119</v>
      </c>
      <c r="D43" s="7">
        <v>1</v>
      </c>
      <c r="E43" s="7">
        <v>531</v>
      </c>
    </row>
    <row r="44" spans="1:5" s="3" customFormat="1" ht="15.75" x14ac:dyDescent="0.25">
      <c r="A44" s="61"/>
      <c r="B44" s="63" t="s">
        <v>2266</v>
      </c>
      <c r="C44" s="62"/>
      <c r="D44" s="63">
        <v>0</v>
      </c>
      <c r="E44" s="63">
        <v>260</v>
      </c>
    </row>
    <row r="45" spans="1:5" s="3" customFormat="1" ht="15.75" x14ac:dyDescent="0.25">
      <c r="A45" s="61"/>
      <c r="B45" s="63" t="s">
        <v>3092</v>
      </c>
      <c r="C45" s="62"/>
      <c r="D45" s="63">
        <v>5</v>
      </c>
      <c r="E45" s="63">
        <v>422</v>
      </c>
    </row>
    <row r="46" spans="1:5" s="3" customFormat="1" ht="15.75" x14ac:dyDescent="0.25">
      <c r="B46" s="48" t="s">
        <v>3671</v>
      </c>
      <c r="C46" s="48"/>
      <c r="D46" s="48"/>
      <c r="E46" s="48"/>
    </row>
    <row r="47" spans="1:5" s="3" customFormat="1" ht="15.75" x14ac:dyDescent="0.25">
      <c r="B47" s="48" t="s">
        <v>3672</v>
      </c>
      <c r="C47" s="48" t="s">
        <v>1709</v>
      </c>
      <c r="D47" s="48">
        <v>10</v>
      </c>
      <c r="E47" s="48">
        <v>519</v>
      </c>
    </row>
    <row r="48" spans="1:5" s="3" customFormat="1" ht="15.75" x14ac:dyDescent="0.25">
      <c r="B48" s="48" t="s">
        <v>3704</v>
      </c>
      <c r="C48" s="48"/>
      <c r="D48" s="48"/>
      <c r="E48" s="48"/>
    </row>
    <row r="49" spans="1:5" s="3" customFormat="1" ht="15.75" x14ac:dyDescent="0.25">
      <c r="B49" s="48">
        <v>1255</v>
      </c>
      <c r="C49" s="48"/>
      <c r="D49" s="48"/>
      <c r="E49" s="48"/>
    </row>
    <row r="50" spans="1:5" s="3" customFormat="1" ht="15.75" x14ac:dyDescent="0.25">
      <c r="B50" s="48" t="s">
        <v>3675</v>
      </c>
      <c r="C50" s="48"/>
      <c r="D50" s="48"/>
      <c r="E50" s="48"/>
    </row>
    <row r="51" spans="1:5" s="3" customFormat="1" ht="15.75" x14ac:dyDescent="0.25">
      <c r="B51" s="48" t="s">
        <v>3676</v>
      </c>
      <c r="C51" s="48"/>
      <c r="D51" s="48"/>
      <c r="E51" s="48"/>
    </row>
    <row r="52" spans="1:5" s="3" customFormat="1" ht="15.75" x14ac:dyDescent="0.25">
      <c r="B52" s="48" t="s">
        <v>3677</v>
      </c>
      <c r="C52" s="48"/>
      <c r="D52" s="48"/>
      <c r="E52" s="48"/>
    </row>
    <row r="53" spans="1:5" s="3" customFormat="1" ht="15.75" x14ac:dyDescent="0.25">
      <c r="B53" s="48" t="s">
        <v>3678</v>
      </c>
      <c r="C53" s="48"/>
      <c r="D53" s="48"/>
      <c r="E53" s="48"/>
    </row>
    <row r="54" spans="1:5" s="3" customFormat="1" ht="15.75" x14ac:dyDescent="0.25">
      <c r="B54" s="48" t="s">
        <v>3679</v>
      </c>
      <c r="C54" s="48"/>
      <c r="D54" s="48"/>
      <c r="E54" s="48"/>
    </row>
    <row r="55" spans="1:5" s="3" customFormat="1" ht="15.75" x14ac:dyDescent="0.25">
      <c r="B55" s="48" t="s">
        <v>4494</v>
      </c>
      <c r="C55" s="48"/>
      <c r="D55" s="48">
        <v>5</v>
      </c>
      <c r="E55" s="48">
        <v>286</v>
      </c>
    </row>
    <row r="56" spans="1:5" s="3" customFormat="1" ht="18.75" x14ac:dyDescent="0.3">
      <c r="B56" s="48"/>
      <c r="C56" s="5" t="s">
        <v>2142</v>
      </c>
      <c r="D56" s="48"/>
      <c r="E56" s="48"/>
    </row>
    <row r="57" spans="1:5" s="3" customFormat="1" ht="15.75" x14ac:dyDescent="0.25">
      <c r="B57" s="48"/>
      <c r="C57" s="48"/>
      <c r="D57" s="48"/>
      <c r="E57" s="48"/>
    </row>
    <row r="58" spans="1:5" s="3" customFormat="1" x14ac:dyDescent="0.25"/>
    <row r="59" spans="1:5" x14ac:dyDescent="0.25">
      <c r="A59" s="7">
        <v>1</v>
      </c>
      <c r="B59" s="7" t="s">
        <v>638</v>
      </c>
      <c r="C59" s="7" t="s">
        <v>1663</v>
      </c>
      <c r="D59" s="7">
        <v>2</v>
      </c>
      <c r="E59" s="7">
        <v>594</v>
      </c>
    </row>
    <row r="60" spans="1:5" x14ac:dyDescent="0.25">
      <c r="A60" s="7">
        <v>2</v>
      </c>
      <c r="B60" s="7" t="s">
        <v>1776</v>
      </c>
      <c r="C60" s="57" t="s">
        <v>2112</v>
      </c>
      <c r="D60" s="7">
        <v>5</v>
      </c>
      <c r="E60" s="7">
        <v>346</v>
      </c>
    </row>
    <row r="61" spans="1:5" s="3" customFormat="1" x14ac:dyDescent="0.25">
      <c r="A61" s="7"/>
      <c r="B61" s="7" t="s">
        <v>3611</v>
      </c>
      <c r="C61" s="57"/>
      <c r="D61" s="7">
        <v>0</v>
      </c>
      <c r="E61" s="7"/>
    </row>
    <row r="62" spans="1:5" x14ac:dyDescent="0.25">
      <c r="A62" s="7">
        <v>3</v>
      </c>
      <c r="B62" s="7" t="s">
        <v>1662</v>
      </c>
      <c r="C62" s="14" t="s">
        <v>1584</v>
      </c>
      <c r="D62" s="7">
        <v>0</v>
      </c>
      <c r="E62" s="7">
        <v>425</v>
      </c>
    </row>
    <row r="63" spans="1:5" x14ac:dyDescent="0.25">
      <c r="A63" s="7">
        <v>4</v>
      </c>
      <c r="B63" s="7" t="s">
        <v>1666</v>
      </c>
      <c r="C63" s="14" t="s">
        <v>1709</v>
      </c>
      <c r="D63" s="7">
        <v>7</v>
      </c>
      <c r="E63" s="7">
        <v>911</v>
      </c>
    </row>
    <row r="64" spans="1:5" s="3" customFormat="1" x14ac:dyDescent="0.25">
      <c r="A64" s="7"/>
      <c r="B64" s="7" t="s">
        <v>2264</v>
      </c>
      <c r="C64" s="14" t="s">
        <v>2265</v>
      </c>
      <c r="D64" s="7">
        <v>8</v>
      </c>
      <c r="E64" s="7">
        <v>258</v>
      </c>
    </row>
    <row r="65" spans="1:6" x14ac:dyDescent="0.25">
      <c r="A65" s="7">
        <v>5</v>
      </c>
      <c r="B65" s="7" t="s">
        <v>2751</v>
      </c>
      <c r="C65" s="14" t="s">
        <v>1671</v>
      </c>
      <c r="D65" s="7">
        <v>0</v>
      </c>
      <c r="E65" s="7">
        <v>824</v>
      </c>
    </row>
    <row r="66" spans="1:6" x14ac:dyDescent="0.25">
      <c r="A66" s="7">
        <v>6</v>
      </c>
      <c r="B66" s="7" t="s">
        <v>1670</v>
      </c>
      <c r="C66" s="14" t="s">
        <v>1671</v>
      </c>
      <c r="D66" s="7">
        <v>3</v>
      </c>
      <c r="E66" s="7">
        <v>837</v>
      </c>
    </row>
    <row r="67" spans="1:6" s="3" customFormat="1" x14ac:dyDescent="0.25">
      <c r="A67" s="7">
        <v>7</v>
      </c>
      <c r="B67" s="7" t="s">
        <v>2081</v>
      </c>
      <c r="C67" s="14" t="s">
        <v>2082</v>
      </c>
      <c r="D67" s="7">
        <v>6</v>
      </c>
      <c r="E67" s="7">
        <v>284</v>
      </c>
    </row>
    <row r="68" spans="1:6" s="3" customFormat="1" x14ac:dyDescent="0.25">
      <c r="A68" s="7"/>
      <c r="B68" s="7" t="s">
        <v>4481</v>
      </c>
      <c r="C68" s="7" t="s">
        <v>1813</v>
      </c>
      <c r="D68" s="7">
        <v>10</v>
      </c>
      <c r="E68" s="7">
        <v>248</v>
      </c>
    </row>
    <row r="69" spans="1:6" x14ac:dyDescent="0.25">
      <c r="A69" s="7">
        <v>8</v>
      </c>
      <c r="B69" s="7" t="s">
        <v>1720</v>
      </c>
      <c r="C69" s="14" t="s">
        <v>1721</v>
      </c>
      <c r="D69" s="7">
        <v>5</v>
      </c>
      <c r="E69" s="7">
        <v>319</v>
      </c>
    </row>
    <row r="70" spans="1:6" x14ac:dyDescent="0.25">
      <c r="A70" s="7">
        <v>9</v>
      </c>
      <c r="B70" s="7" t="s">
        <v>1732</v>
      </c>
      <c r="C70" s="14" t="s">
        <v>1733</v>
      </c>
      <c r="D70" s="7">
        <v>11</v>
      </c>
      <c r="E70" s="7">
        <v>463</v>
      </c>
      <c r="F70" s="3" t="s">
        <v>4538</v>
      </c>
    </row>
    <row r="71" spans="1:6" x14ac:dyDescent="0.25">
      <c r="A71" s="7">
        <v>10</v>
      </c>
      <c r="B71" s="87" t="s">
        <v>1735</v>
      </c>
      <c r="C71" s="14" t="s">
        <v>1827</v>
      </c>
      <c r="D71" s="7">
        <v>14</v>
      </c>
      <c r="E71" s="7">
        <v>233</v>
      </c>
    </row>
    <row r="72" spans="1:6" x14ac:dyDescent="0.25">
      <c r="A72" s="7">
        <v>11</v>
      </c>
      <c r="B72" s="7" t="s">
        <v>1737</v>
      </c>
      <c r="C72" s="57" t="s">
        <v>2114</v>
      </c>
      <c r="D72" s="7">
        <v>6</v>
      </c>
      <c r="E72" s="7">
        <v>565</v>
      </c>
    </row>
    <row r="73" spans="1:6" x14ac:dyDescent="0.25">
      <c r="A73" s="7">
        <v>12</v>
      </c>
      <c r="B73" s="7" t="s">
        <v>1777</v>
      </c>
      <c r="C73" s="7" t="s">
        <v>1778</v>
      </c>
      <c r="D73" s="7">
        <v>10</v>
      </c>
      <c r="E73" s="7">
        <v>949</v>
      </c>
    </row>
    <row r="74" spans="1:6" x14ac:dyDescent="0.25">
      <c r="A74" s="7">
        <v>13</v>
      </c>
      <c r="B74" s="7" t="s">
        <v>1810</v>
      </c>
      <c r="C74" s="7" t="s">
        <v>1811</v>
      </c>
      <c r="D74" s="7">
        <v>5</v>
      </c>
      <c r="E74" s="7">
        <v>363</v>
      </c>
    </row>
    <row r="75" spans="1:6" x14ac:dyDescent="0.25">
      <c r="A75" s="7">
        <v>14</v>
      </c>
      <c r="B75" s="7" t="s">
        <v>1812</v>
      </c>
      <c r="C75" s="7" t="s">
        <v>1813</v>
      </c>
      <c r="D75" s="7">
        <v>14</v>
      </c>
      <c r="E75" s="7">
        <v>322</v>
      </c>
    </row>
    <row r="76" spans="1:6" x14ac:dyDescent="0.25">
      <c r="A76" s="7">
        <v>15</v>
      </c>
      <c r="B76" s="7" t="s">
        <v>1814</v>
      </c>
      <c r="C76" s="7" t="s">
        <v>1815</v>
      </c>
      <c r="D76" s="7">
        <v>5</v>
      </c>
      <c r="E76" s="7">
        <v>273</v>
      </c>
    </row>
    <row r="77" spans="1:6" s="3" customFormat="1" x14ac:dyDescent="0.25">
      <c r="A77" s="7"/>
      <c r="B77" s="7" t="s">
        <v>3716</v>
      </c>
      <c r="C77" s="57"/>
      <c r="D77" s="7">
        <v>5</v>
      </c>
      <c r="E77" s="7">
        <v>345</v>
      </c>
    </row>
    <row r="78" spans="1:6" x14ac:dyDescent="0.25">
      <c r="A78" s="7">
        <v>16</v>
      </c>
      <c r="B78" s="7" t="s">
        <v>1832</v>
      </c>
      <c r="C78" s="7" t="s">
        <v>1833</v>
      </c>
      <c r="D78" s="7">
        <v>8</v>
      </c>
      <c r="E78" s="7">
        <v>334</v>
      </c>
    </row>
    <row r="79" spans="1:6" s="3" customFormat="1" x14ac:dyDescent="0.25">
      <c r="A79" s="7">
        <v>17</v>
      </c>
      <c r="B79" s="7" t="s">
        <v>1900</v>
      </c>
      <c r="C79" s="57" t="s">
        <v>2112</v>
      </c>
      <c r="D79" s="7">
        <v>8</v>
      </c>
      <c r="E79" s="7">
        <v>397</v>
      </c>
    </row>
    <row r="80" spans="1:6" s="3" customFormat="1" x14ac:dyDescent="0.25">
      <c r="A80" s="7">
        <v>18</v>
      </c>
      <c r="B80" s="7" t="s">
        <v>1902</v>
      </c>
      <c r="C80" s="57" t="s">
        <v>2116</v>
      </c>
      <c r="D80" s="7">
        <v>2</v>
      </c>
      <c r="E80" s="7">
        <v>293</v>
      </c>
    </row>
    <row r="81" spans="1:5" s="3" customFormat="1" x14ac:dyDescent="0.25">
      <c r="A81" s="7">
        <v>19</v>
      </c>
      <c r="B81" s="7" t="s">
        <v>2056</v>
      </c>
      <c r="C81" s="57" t="s">
        <v>2121</v>
      </c>
      <c r="D81" s="7">
        <v>10</v>
      </c>
      <c r="E81" s="7" t="s">
        <v>2374</v>
      </c>
    </row>
    <row r="82" spans="1:5" s="3" customFormat="1" x14ac:dyDescent="0.25">
      <c r="A82" s="7">
        <v>20</v>
      </c>
      <c r="B82" s="7" t="s">
        <v>2061</v>
      </c>
      <c r="C82" s="58" t="s">
        <v>2122</v>
      </c>
      <c r="D82" s="7">
        <v>4</v>
      </c>
      <c r="E82" s="7">
        <v>395</v>
      </c>
    </row>
    <row r="83" spans="1:5" s="3" customFormat="1" ht="15.75" x14ac:dyDescent="0.25">
      <c r="A83" s="7">
        <v>21</v>
      </c>
      <c r="B83" s="60" t="s">
        <v>2080</v>
      </c>
      <c r="C83" s="57" t="s">
        <v>2111</v>
      </c>
      <c r="D83" s="60">
        <v>1</v>
      </c>
      <c r="E83" s="60">
        <v>624</v>
      </c>
    </row>
    <row r="84" spans="1:5" s="3" customFormat="1" x14ac:dyDescent="0.25">
      <c r="A84" s="7"/>
      <c r="B84" s="7" t="s">
        <v>2227</v>
      </c>
      <c r="C84" s="57"/>
      <c r="D84" s="7"/>
      <c r="E84" s="7"/>
    </row>
    <row r="85" spans="1:5" s="3" customFormat="1" x14ac:dyDescent="0.25">
      <c r="A85" s="7"/>
      <c r="B85" s="7" t="s">
        <v>2228</v>
      </c>
      <c r="C85" s="57"/>
      <c r="D85" s="7">
        <v>3</v>
      </c>
      <c r="E85" s="7">
        <v>246</v>
      </c>
    </row>
    <row r="86" spans="1:5" s="3" customFormat="1" x14ac:dyDescent="0.25">
      <c r="A86" s="7"/>
      <c r="B86" s="7" t="s">
        <v>3612</v>
      </c>
      <c r="C86" s="57"/>
      <c r="D86" s="7"/>
      <c r="E86" s="7"/>
    </row>
    <row r="87" spans="1:5" s="3" customFormat="1" x14ac:dyDescent="0.25">
      <c r="A87" s="7"/>
      <c r="B87" s="7" t="s">
        <v>2229</v>
      </c>
      <c r="C87" s="57"/>
      <c r="D87" s="7">
        <v>1</v>
      </c>
      <c r="E87" s="7">
        <v>284</v>
      </c>
    </row>
    <row r="88" spans="1:5" s="3" customFormat="1" x14ac:dyDescent="0.25">
      <c r="A88" s="7"/>
      <c r="B88" s="7" t="s">
        <v>2230</v>
      </c>
      <c r="C88" s="57"/>
      <c r="D88" s="7">
        <v>0</v>
      </c>
      <c r="E88" s="7">
        <v>1031</v>
      </c>
    </row>
    <row r="89" spans="1:5" s="3" customFormat="1" x14ac:dyDescent="0.25">
      <c r="A89" s="7"/>
      <c r="B89" s="7" t="s">
        <v>2254</v>
      </c>
      <c r="C89" s="57"/>
      <c r="D89" s="7">
        <v>2</v>
      </c>
      <c r="E89" s="7">
        <v>730</v>
      </c>
    </row>
    <row r="90" spans="1:5" s="3" customFormat="1" x14ac:dyDescent="0.25">
      <c r="A90" s="7"/>
      <c r="B90" s="7" t="s">
        <v>2261</v>
      </c>
      <c r="C90" s="57"/>
      <c r="D90" s="7">
        <v>4</v>
      </c>
      <c r="E90" s="7">
        <v>278</v>
      </c>
    </row>
    <row r="91" spans="1:5" s="3" customFormat="1" x14ac:dyDescent="0.25">
      <c r="A91" s="7"/>
      <c r="B91" s="7" t="s">
        <v>2335</v>
      </c>
      <c r="C91" s="57"/>
      <c r="D91" s="7">
        <v>2</v>
      </c>
      <c r="E91" s="7">
        <v>335</v>
      </c>
    </row>
    <row r="92" spans="1:5" s="3" customFormat="1" x14ac:dyDescent="0.25">
      <c r="A92" s="7"/>
      <c r="B92" s="7" t="s">
        <v>2336</v>
      </c>
      <c r="C92" s="57"/>
      <c r="D92" s="7">
        <v>5</v>
      </c>
      <c r="E92" s="7">
        <v>296</v>
      </c>
    </row>
    <row r="93" spans="1:5" s="3" customFormat="1" x14ac:dyDescent="0.25">
      <c r="A93" s="7"/>
      <c r="B93" s="7" t="s">
        <v>2338</v>
      </c>
      <c r="C93" s="57"/>
      <c r="D93" s="7">
        <v>1</v>
      </c>
      <c r="E93" s="7">
        <v>315</v>
      </c>
    </row>
    <row r="94" spans="1:5" s="3" customFormat="1" x14ac:dyDescent="0.25">
      <c r="A94" s="7"/>
      <c r="B94" s="7" t="s">
        <v>2447</v>
      </c>
      <c r="C94" s="57" t="s">
        <v>2448</v>
      </c>
      <c r="D94" s="7">
        <v>2</v>
      </c>
      <c r="E94" s="7">
        <v>370</v>
      </c>
    </row>
    <row r="95" spans="1:5" s="3" customFormat="1" x14ac:dyDescent="0.25">
      <c r="A95" s="7"/>
      <c r="B95" s="7" t="s">
        <v>2841</v>
      </c>
      <c r="C95" s="57" t="s">
        <v>2842</v>
      </c>
      <c r="D95" s="7">
        <v>6</v>
      </c>
      <c r="E95" s="7">
        <v>325</v>
      </c>
    </row>
    <row r="96" spans="1:5" s="3" customFormat="1" x14ac:dyDescent="0.25">
      <c r="A96" s="7"/>
      <c r="B96" s="7" t="s">
        <v>2843</v>
      </c>
      <c r="C96" s="57" t="s">
        <v>2842</v>
      </c>
      <c r="D96" s="7">
        <v>7</v>
      </c>
      <c r="E96" s="7">
        <v>288</v>
      </c>
    </row>
    <row r="97" spans="1:5" s="3" customFormat="1" x14ac:dyDescent="0.25">
      <c r="A97" s="7"/>
      <c r="B97" s="7" t="s">
        <v>3717</v>
      </c>
      <c r="C97" s="57" t="s">
        <v>2842</v>
      </c>
      <c r="D97" s="7">
        <v>5</v>
      </c>
      <c r="E97" s="7">
        <v>325</v>
      </c>
    </row>
    <row r="98" spans="1:5" s="3" customFormat="1" x14ac:dyDescent="0.25">
      <c r="A98" s="7"/>
      <c r="B98" s="7" t="s">
        <v>3205</v>
      </c>
      <c r="C98" s="57"/>
      <c r="D98" s="7">
        <v>1</v>
      </c>
      <c r="E98" s="7">
        <v>376</v>
      </c>
    </row>
    <row r="99" spans="1:5" s="3" customFormat="1" x14ac:dyDescent="0.25">
      <c r="A99" s="7"/>
      <c r="B99" s="7" t="s">
        <v>3214</v>
      </c>
      <c r="C99" s="57"/>
      <c r="D99" s="7">
        <v>3</v>
      </c>
      <c r="E99" s="7">
        <v>265</v>
      </c>
    </row>
    <row r="100" spans="1:5" s="3" customFormat="1" x14ac:dyDescent="0.25">
      <c r="A100" s="7"/>
      <c r="B100" s="7" t="s">
        <v>3636</v>
      </c>
      <c r="C100" s="57" t="s">
        <v>2842</v>
      </c>
      <c r="D100" s="7">
        <v>0</v>
      </c>
      <c r="E100" s="7">
        <v>330</v>
      </c>
    </row>
    <row r="101" spans="1:5" s="3" customFormat="1" x14ac:dyDescent="0.25">
      <c r="A101" s="7"/>
      <c r="B101" s="7" t="s">
        <v>3669</v>
      </c>
      <c r="C101" s="57"/>
      <c r="D101" s="7">
        <v>2</v>
      </c>
      <c r="E101" s="7">
        <v>1000</v>
      </c>
    </row>
    <row r="102" spans="1:5" s="3" customFormat="1" x14ac:dyDescent="0.25">
      <c r="A102" s="7"/>
      <c r="B102" s="7" t="s">
        <v>3670</v>
      </c>
      <c r="C102" s="57"/>
      <c r="D102" s="7">
        <v>2</v>
      </c>
      <c r="E102" s="7">
        <v>727</v>
      </c>
    </row>
    <row r="103" spans="1:5" s="3" customFormat="1" x14ac:dyDescent="0.25">
      <c r="A103" s="7"/>
      <c r="B103" s="7" t="s">
        <v>3673</v>
      </c>
      <c r="C103" s="57"/>
      <c r="D103" s="7"/>
      <c r="E103" s="7"/>
    </row>
    <row r="104" spans="1:5" s="3" customFormat="1" x14ac:dyDescent="0.25">
      <c r="A104" s="7"/>
      <c r="B104" s="7" t="s">
        <v>3674</v>
      </c>
      <c r="C104" s="57"/>
      <c r="D104" s="7"/>
      <c r="E104" s="7"/>
    </row>
    <row r="105" spans="1:5" s="3" customFormat="1" x14ac:dyDescent="0.25">
      <c r="A105" s="7"/>
      <c r="B105" s="7">
        <v>1255</v>
      </c>
      <c r="C105" s="57"/>
      <c r="D105" s="7"/>
      <c r="E105" s="7"/>
    </row>
    <row r="106" spans="1:5" s="3" customFormat="1" x14ac:dyDescent="0.25">
      <c r="A106" s="7"/>
      <c r="B106" s="7" t="s">
        <v>3697</v>
      </c>
      <c r="C106" s="57"/>
      <c r="D106" s="7"/>
      <c r="E106" s="7"/>
    </row>
    <row r="107" spans="1:5" s="3" customFormat="1" x14ac:dyDescent="0.25">
      <c r="A107" s="7"/>
      <c r="B107" s="7" t="s">
        <v>3698</v>
      </c>
      <c r="C107" s="57"/>
      <c r="D107" s="7">
        <v>0</v>
      </c>
      <c r="E107" s="7"/>
    </row>
    <row r="108" spans="1:5" s="3" customFormat="1" x14ac:dyDescent="0.25">
      <c r="A108" s="7"/>
      <c r="B108" s="10" t="s">
        <v>4639</v>
      </c>
      <c r="D108" s="3">
        <v>2</v>
      </c>
      <c r="E108" s="3">
        <v>900</v>
      </c>
    </row>
    <row r="109" spans="1:5" s="3" customFormat="1" x14ac:dyDescent="0.25">
      <c r="A109" s="7"/>
      <c r="B109" s="7"/>
      <c r="C109" s="57"/>
      <c r="D109" s="7"/>
      <c r="E109" s="7"/>
    </row>
    <row r="110" spans="1:5" s="3" customFormat="1" x14ac:dyDescent="0.25">
      <c r="A110" s="7"/>
      <c r="B110" s="7"/>
      <c r="C110" s="57"/>
      <c r="D110" s="7"/>
      <c r="E110" s="7"/>
    </row>
    <row r="111" spans="1:5" s="3" customFormat="1" x14ac:dyDescent="0.25">
      <c r="A111" s="7"/>
      <c r="B111" s="7"/>
      <c r="C111" s="57"/>
      <c r="D111" s="7"/>
      <c r="E111" s="7"/>
    </row>
    <row r="112" spans="1:5" s="3" customFormat="1" ht="18" x14ac:dyDescent="0.25">
      <c r="A112" s="7"/>
      <c r="B112" s="7"/>
      <c r="C112" s="64" t="s">
        <v>2143</v>
      </c>
      <c r="D112" s="7"/>
      <c r="E112" s="7"/>
    </row>
    <row r="113" spans="1:5" s="3" customFormat="1" x14ac:dyDescent="0.25">
      <c r="A113" s="7"/>
      <c r="B113" s="7"/>
      <c r="C113" s="57"/>
      <c r="D113" s="7"/>
      <c r="E113" s="7"/>
    </row>
    <row r="114" spans="1:5" s="3" customFormat="1" x14ac:dyDescent="0.25">
      <c r="A114" s="7"/>
      <c r="B114" s="7"/>
      <c r="C114" s="57"/>
      <c r="D114" s="7"/>
      <c r="E114" s="7"/>
    </row>
    <row r="115" spans="1:5" s="3" customFormat="1" x14ac:dyDescent="0.25">
      <c r="A115" s="7"/>
      <c r="B115" s="7"/>
      <c r="C115" s="57"/>
      <c r="D115" s="7"/>
      <c r="E115" s="7"/>
    </row>
    <row r="116" spans="1:5" s="3" customFormat="1" x14ac:dyDescent="0.25">
      <c r="A116" s="7"/>
      <c r="B116" s="7"/>
      <c r="C116" s="57"/>
      <c r="D116" s="7"/>
      <c r="E116" s="7"/>
    </row>
    <row r="117" spans="1:5" s="3" customFormat="1" x14ac:dyDescent="0.25">
      <c r="A117" s="7">
        <v>1</v>
      </c>
      <c r="B117" s="7" t="s">
        <v>2083</v>
      </c>
      <c r="C117" s="59" t="s">
        <v>2123</v>
      </c>
      <c r="D117" s="7">
        <v>8</v>
      </c>
      <c r="E117" s="7">
        <v>179</v>
      </c>
    </row>
    <row r="118" spans="1:5" s="3" customFormat="1" x14ac:dyDescent="0.25">
      <c r="A118" s="7">
        <v>2</v>
      </c>
      <c r="B118" s="7" t="s">
        <v>2084</v>
      </c>
      <c r="C118" s="59" t="s">
        <v>2124</v>
      </c>
      <c r="D118" s="7">
        <v>3</v>
      </c>
      <c r="E118" s="7">
        <v>238</v>
      </c>
    </row>
    <row r="119" spans="1:5" s="3" customFormat="1" x14ac:dyDescent="0.25">
      <c r="A119" s="7"/>
      <c r="B119" s="7" t="s">
        <v>3665</v>
      </c>
      <c r="C119" s="59" t="s">
        <v>3666</v>
      </c>
      <c r="D119" s="7">
        <v>0</v>
      </c>
      <c r="E119" s="7">
        <v>225</v>
      </c>
    </row>
    <row r="120" spans="1:5" s="3" customFormat="1" x14ac:dyDescent="0.25">
      <c r="A120" s="7"/>
      <c r="B120" s="7" t="s">
        <v>3664</v>
      </c>
      <c r="C120" s="59" t="s">
        <v>657</v>
      </c>
      <c r="D120" s="7">
        <v>2</v>
      </c>
      <c r="E120" s="7">
        <v>327</v>
      </c>
    </row>
    <row r="121" spans="1:5" s="3" customFormat="1" x14ac:dyDescent="0.25">
      <c r="A121" s="7">
        <v>3</v>
      </c>
      <c r="B121" s="7" t="s">
        <v>2085</v>
      </c>
      <c r="C121" s="57" t="s">
        <v>2125</v>
      </c>
      <c r="D121" s="7">
        <v>0</v>
      </c>
      <c r="E121" s="7">
        <v>470</v>
      </c>
    </row>
    <row r="122" spans="1:5" s="3" customFormat="1" x14ac:dyDescent="0.25">
      <c r="A122" s="7">
        <v>4</v>
      </c>
      <c r="B122" s="7" t="s">
        <v>2086</v>
      </c>
      <c r="C122" s="57" t="s">
        <v>2126</v>
      </c>
      <c r="D122" s="7">
        <v>4</v>
      </c>
      <c r="E122" s="7">
        <v>712</v>
      </c>
    </row>
    <row r="123" spans="1:5" s="3" customFormat="1" x14ac:dyDescent="0.25">
      <c r="A123" s="7">
        <v>5</v>
      </c>
      <c r="B123" s="14" t="s">
        <v>667</v>
      </c>
      <c r="C123" s="57" t="s">
        <v>2127</v>
      </c>
      <c r="D123" s="7">
        <v>1</v>
      </c>
      <c r="E123" s="7">
        <v>543</v>
      </c>
    </row>
    <row r="124" spans="1:5" s="3" customFormat="1" x14ac:dyDescent="0.25">
      <c r="A124" s="7">
        <v>6</v>
      </c>
      <c r="B124" s="14" t="s">
        <v>2090</v>
      </c>
      <c r="C124" s="57" t="s">
        <v>2128</v>
      </c>
      <c r="D124" s="7">
        <v>2</v>
      </c>
      <c r="E124" s="7">
        <v>311</v>
      </c>
    </row>
    <row r="125" spans="1:5" s="3" customFormat="1" x14ac:dyDescent="0.25">
      <c r="A125" s="7">
        <v>7</v>
      </c>
      <c r="B125" s="14" t="s">
        <v>2077</v>
      </c>
      <c r="C125" s="59" t="s">
        <v>2108</v>
      </c>
      <c r="D125" s="7">
        <v>4</v>
      </c>
      <c r="E125" s="7">
        <v>215</v>
      </c>
    </row>
    <row r="126" spans="1:5" x14ac:dyDescent="0.25">
      <c r="A126" s="7">
        <v>8</v>
      </c>
      <c r="B126" s="14" t="s">
        <v>2091</v>
      </c>
      <c r="C126" s="59" t="s">
        <v>2129</v>
      </c>
      <c r="D126" s="7">
        <v>2</v>
      </c>
      <c r="E126" s="7">
        <v>256</v>
      </c>
    </row>
    <row r="127" spans="1:5" s="3" customFormat="1" x14ac:dyDescent="0.25">
      <c r="A127" s="7">
        <v>9</v>
      </c>
      <c r="B127" s="14" t="s">
        <v>2084</v>
      </c>
      <c r="C127" s="59" t="s">
        <v>2124</v>
      </c>
      <c r="D127" s="7">
        <v>3</v>
      </c>
      <c r="E127" s="7">
        <v>238</v>
      </c>
    </row>
    <row r="128" spans="1:5" s="3" customFormat="1" x14ac:dyDescent="0.25">
      <c r="A128" s="7">
        <v>10</v>
      </c>
      <c r="B128" s="14" t="s">
        <v>2092</v>
      </c>
      <c r="C128" s="57" t="s">
        <v>2130</v>
      </c>
      <c r="D128" s="7">
        <v>5</v>
      </c>
      <c r="E128" s="7">
        <v>491</v>
      </c>
    </row>
    <row r="129" spans="1:5" s="3" customFormat="1" x14ac:dyDescent="0.25">
      <c r="A129" s="7">
        <v>11</v>
      </c>
      <c r="B129" s="14" t="s">
        <v>2100</v>
      </c>
      <c r="C129" s="57" t="s">
        <v>2131</v>
      </c>
      <c r="D129" s="7">
        <v>10</v>
      </c>
      <c r="E129" s="7">
        <v>597</v>
      </c>
    </row>
    <row r="130" spans="1:5" s="3" customFormat="1" x14ac:dyDescent="0.25">
      <c r="A130" s="7">
        <v>12</v>
      </c>
      <c r="B130" s="14" t="s">
        <v>2093</v>
      </c>
      <c r="C130" s="57" t="s">
        <v>2132</v>
      </c>
      <c r="D130" s="7">
        <v>0</v>
      </c>
      <c r="E130" s="7">
        <v>591</v>
      </c>
    </row>
    <row r="131" spans="1:5" s="3" customFormat="1" x14ac:dyDescent="0.25">
      <c r="A131" s="7">
        <v>13</v>
      </c>
      <c r="B131" s="14" t="s">
        <v>2094</v>
      </c>
      <c r="C131" s="57" t="s">
        <v>2133</v>
      </c>
      <c r="D131" s="7">
        <v>2</v>
      </c>
      <c r="E131" s="7">
        <v>275</v>
      </c>
    </row>
    <row r="132" spans="1:5" s="3" customFormat="1" x14ac:dyDescent="0.25">
      <c r="A132" s="7">
        <v>14</v>
      </c>
      <c r="B132" s="14" t="s">
        <v>2095</v>
      </c>
      <c r="C132" s="59" t="s">
        <v>2134</v>
      </c>
      <c r="D132" s="7">
        <v>5</v>
      </c>
      <c r="E132" s="7">
        <v>221</v>
      </c>
    </row>
    <row r="133" spans="1:5" s="3" customFormat="1" x14ac:dyDescent="0.25">
      <c r="A133" s="7">
        <v>15</v>
      </c>
      <c r="B133" s="14" t="s">
        <v>2096</v>
      </c>
      <c r="C133" s="59" t="s">
        <v>2135</v>
      </c>
      <c r="D133" s="7">
        <v>3</v>
      </c>
      <c r="E133" s="7">
        <v>229</v>
      </c>
    </row>
    <row r="134" spans="1:5" s="3" customFormat="1" x14ac:dyDescent="0.25">
      <c r="A134" s="7">
        <v>16</v>
      </c>
      <c r="B134" s="14" t="s">
        <v>2097</v>
      </c>
      <c r="C134" s="57" t="s">
        <v>2136</v>
      </c>
      <c r="D134" s="7">
        <v>4</v>
      </c>
      <c r="E134" s="7">
        <v>464</v>
      </c>
    </row>
    <row r="135" spans="1:5" s="3" customFormat="1" x14ac:dyDescent="0.25">
      <c r="A135" s="7">
        <v>17</v>
      </c>
      <c r="B135" s="14" t="s">
        <v>2086</v>
      </c>
      <c r="C135" s="57" t="s">
        <v>2126</v>
      </c>
      <c r="D135" s="7">
        <v>4</v>
      </c>
      <c r="E135" s="7" t="s">
        <v>3213</v>
      </c>
    </row>
    <row r="136" spans="1:5" s="3" customFormat="1" ht="25.5" x14ac:dyDescent="0.25">
      <c r="A136" s="7">
        <v>18</v>
      </c>
      <c r="B136" s="14" t="s">
        <v>2098</v>
      </c>
      <c r="C136" s="57" t="s">
        <v>2137</v>
      </c>
      <c r="D136" s="7">
        <v>0</v>
      </c>
      <c r="E136" s="7">
        <v>584</v>
      </c>
    </row>
    <row r="137" spans="1:5" s="3" customFormat="1" x14ac:dyDescent="0.25">
      <c r="A137" s="7">
        <v>19</v>
      </c>
      <c r="B137" s="14" t="s">
        <v>2099</v>
      </c>
      <c r="C137" s="57" t="s">
        <v>2138</v>
      </c>
      <c r="D137" s="7">
        <v>3</v>
      </c>
      <c r="E137" s="7">
        <v>718</v>
      </c>
    </row>
    <row r="138" spans="1:5" s="3" customFormat="1" x14ac:dyDescent="0.25">
      <c r="A138" s="7">
        <v>20</v>
      </c>
      <c r="B138" s="14" t="s">
        <v>2101</v>
      </c>
      <c r="C138" s="57" t="s">
        <v>2139</v>
      </c>
      <c r="D138" s="7">
        <v>3</v>
      </c>
      <c r="E138" s="7">
        <v>409</v>
      </c>
    </row>
    <row r="139" spans="1:5" s="3" customFormat="1" x14ac:dyDescent="0.25">
      <c r="A139" s="7">
        <v>21</v>
      </c>
      <c r="B139" s="14" t="s">
        <v>2102</v>
      </c>
      <c r="C139" s="57" t="s">
        <v>2140</v>
      </c>
      <c r="D139" s="7">
        <v>1</v>
      </c>
      <c r="E139" s="7">
        <v>529</v>
      </c>
    </row>
    <row r="140" spans="1:5" s="3" customFormat="1" x14ac:dyDescent="0.25">
      <c r="A140" s="7">
        <v>22</v>
      </c>
      <c r="B140" s="14" t="s">
        <v>2103</v>
      </c>
      <c r="C140" s="57" t="s">
        <v>2141</v>
      </c>
      <c r="D140" s="7">
        <v>2</v>
      </c>
      <c r="E140" s="7">
        <v>269</v>
      </c>
    </row>
    <row r="141" spans="1:5" s="3" customFormat="1" ht="15.75" x14ac:dyDescent="0.25">
      <c r="A141" s="7">
        <v>23</v>
      </c>
      <c r="B141" s="60" t="s">
        <v>2078</v>
      </c>
      <c r="C141" s="59" t="s">
        <v>2109</v>
      </c>
      <c r="D141" s="60">
        <v>3</v>
      </c>
      <c r="E141" s="60">
        <v>242</v>
      </c>
    </row>
    <row r="142" spans="1:5" s="3" customFormat="1" ht="15.75" x14ac:dyDescent="0.25">
      <c r="A142" s="7">
        <v>24</v>
      </c>
      <c r="B142" s="60" t="s">
        <v>2079</v>
      </c>
      <c r="C142" s="57" t="s">
        <v>2110</v>
      </c>
      <c r="D142" s="60">
        <v>5</v>
      </c>
      <c r="E142" s="60">
        <v>194</v>
      </c>
    </row>
    <row r="143" spans="1:5" s="3" customFormat="1" ht="15.75" x14ac:dyDescent="0.25">
      <c r="A143" s="7">
        <v>25</v>
      </c>
      <c r="B143" s="60" t="s">
        <v>2077</v>
      </c>
      <c r="C143" s="59" t="s">
        <v>2108</v>
      </c>
      <c r="D143" s="60">
        <v>1</v>
      </c>
      <c r="E143" s="60">
        <v>195</v>
      </c>
    </row>
    <row r="144" spans="1:5" s="3" customFormat="1" x14ac:dyDescent="0.25">
      <c r="A144" s="7">
        <v>26</v>
      </c>
      <c r="B144" s="7" t="s">
        <v>1668</v>
      </c>
      <c r="C144" s="59" t="s">
        <v>2113</v>
      </c>
      <c r="D144" s="7">
        <v>2</v>
      </c>
      <c r="E144" s="7">
        <v>308</v>
      </c>
    </row>
    <row r="145" spans="1:5" s="3" customFormat="1" x14ac:dyDescent="0.25">
      <c r="A145" s="7">
        <v>27</v>
      </c>
      <c r="B145" s="7" t="s">
        <v>1808</v>
      </c>
      <c r="C145" s="14" t="s">
        <v>1809</v>
      </c>
      <c r="D145" s="7">
        <v>10</v>
      </c>
      <c r="E145" s="7">
        <v>431</v>
      </c>
    </row>
    <row r="146" spans="1:5" s="3" customFormat="1" x14ac:dyDescent="0.25">
      <c r="A146" s="7">
        <v>28</v>
      </c>
      <c r="B146" s="7" t="s">
        <v>1664</v>
      </c>
      <c r="C146" s="14" t="s">
        <v>3186</v>
      </c>
      <c r="D146" s="7">
        <v>2</v>
      </c>
      <c r="E146" s="7">
        <v>197</v>
      </c>
    </row>
    <row r="147" spans="1:5" s="3" customFormat="1" x14ac:dyDescent="0.25">
      <c r="A147" s="7">
        <v>29</v>
      </c>
      <c r="B147" s="7" t="s">
        <v>1825</v>
      </c>
      <c r="C147" s="14" t="s">
        <v>1826</v>
      </c>
      <c r="D147" s="7">
        <v>10</v>
      </c>
      <c r="E147" s="7">
        <v>180</v>
      </c>
    </row>
    <row r="148" spans="1:5" s="3" customFormat="1" x14ac:dyDescent="0.25">
      <c r="A148" s="7">
        <v>30</v>
      </c>
      <c r="B148" s="7" t="s">
        <v>1830</v>
      </c>
      <c r="C148" s="14" t="s">
        <v>1831</v>
      </c>
      <c r="D148" s="7">
        <v>1</v>
      </c>
      <c r="E148" s="7" t="s">
        <v>2750</v>
      </c>
    </row>
    <row r="149" spans="1:5" s="3" customFormat="1" x14ac:dyDescent="0.25">
      <c r="A149" s="7">
        <v>31</v>
      </c>
      <c r="B149" s="7" t="s">
        <v>1899</v>
      </c>
      <c r="C149" s="57" t="s">
        <v>2115</v>
      </c>
      <c r="D149" s="7">
        <v>0</v>
      </c>
      <c r="E149" s="7">
        <v>449</v>
      </c>
    </row>
    <row r="150" spans="1:5" s="3" customFormat="1" x14ac:dyDescent="0.25">
      <c r="A150" s="7">
        <v>32</v>
      </c>
      <c r="B150" s="7" t="s">
        <v>1901</v>
      </c>
      <c r="C150" s="57" t="s">
        <v>3186</v>
      </c>
      <c r="D150" s="7">
        <v>3</v>
      </c>
      <c r="E150" s="7">
        <v>135</v>
      </c>
    </row>
    <row r="151" spans="1:5" s="3" customFormat="1" x14ac:dyDescent="0.25">
      <c r="A151" s="7">
        <v>33</v>
      </c>
      <c r="B151" s="7" t="s">
        <v>1905</v>
      </c>
      <c r="C151" s="57" t="s">
        <v>2120</v>
      </c>
      <c r="D151" s="7">
        <v>8</v>
      </c>
      <c r="E151" s="7">
        <v>312</v>
      </c>
    </row>
    <row r="152" spans="1:5" s="3" customFormat="1" x14ac:dyDescent="0.25">
      <c r="B152" s="10" t="s">
        <v>2218</v>
      </c>
      <c r="C152" s="62" t="s">
        <v>2723</v>
      </c>
      <c r="D152" s="10">
        <v>6</v>
      </c>
      <c r="E152" s="10">
        <v>572</v>
      </c>
    </row>
    <row r="153" spans="1:5" s="3" customFormat="1" x14ac:dyDescent="0.25">
      <c r="B153" s="10" t="s">
        <v>2219</v>
      </c>
      <c r="C153" s="62"/>
      <c r="D153" s="10">
        <v>6</v>
      </c>
      <c r="E153" s="10">
        <v>341</v>
      </c>
    </row>
    <row r="154" spans="1:5" s="3" customFormat="1" x14ac:dyDescent="0.25">
      <c r="B154" s="10" t="s">
        <v>3667</v>
      </c>
      <c r="C154" s="62" t="s">
        <v>2252</v>
      </c>
      <c r="D154" s="10">
        <v>1</v>
      </c>
      <c r="E154" s="10">
        <v>334</v>
      </c>
    </row>
    <row r="155" spans="1:5" s="3" customFormat="1" x14ac:dyDescent="0.25">
      <c r="B155" s="10" t="s">
        <v>2250</v>
      </c>
      <c r="C155" s="62" t="s">
        <v>2251</v>
      </c>
      <c r="D155" s="38">
        <v>1</v>
      </c>
      <c r="E155" s="38">
        <v>563</v>
      </c>
    </row>
    <row r="156" spans="1:5" s="3" customFormat="1" x14ac:dyDescent="0.25">
      <c r="B156" s="10" t="s">
        <v>2253</v>
      </c>
      <c r="C156" s="62"/>
      <c r="D156" s="38">
        <v>2</v>
      </c>
      <c r="E156" s="38">
        <v>420</v>
      </c>
    </row>
    <row r="157" spans="1:5" s="3" customFormat="1" x14ac:dyDescent="0.25">
      <c r="B157" s="10" t="s">
        <v>2288</v>
      </c>
      <c r="C157" s="62"/>
      <c r="D157" s="38">
        <v>1</v>
      </c>
      <c r="E157" s="38">
        <v>161</v>
      </c>
    </row>
    <row r="158" spans="1:5" s="3" customFormat="1" x14ac:dyDescent="0.25">
      <c r="B158" s="10" t="s">
        <v>4375</v>
      </c>
      <c r="C158" s="62"/>
      <c r="D158" s="38">
        <v>0</v>
      </c>
      <c r="E158" s="38"/>
    </row>
    <row r="159" spans="1:5" s="3" customFormat="1" x14ac:dyDescent="0.25">
      <c r="B159" s="10" t="s">
        <v>2289</v>
      </c>
      <c r="C159" s="62"/>
      <c r="D159" s="38">
        <v>3</v>
      </c>
      <c r="E159" s="38">
        <v>555</v>
      </c>
    </row>
    <row r="160" spans="1:5" s="3" customFormat="1" x14ac:dyDescent="0.25">
      <c r="B160" s="10" t="s">
        <v>2290</v>
      </c>
      <c r="C160" s="62"/>
      <c r="D160" s="38">
        <v>0</v>
      </c>
      <c r="E160" s="38">
        <v>799</v>
      </c>
    </row>
    <row r="161" spans="2:5" s="3" customFormat="1" x14ac:dyDescent="0.25">
      <c r="B161" s="10" t="s">
        <v>2390</v>
      </c>
      <c r="C161" s="62"/>
      <c r="D161" s="38">
        <v>0</v>
      </c>
      <c r="E161" s="38">
        <v>133</v>
      </c>
    </row>
    <row r="162" spans="2:5" s="3" customFormat="1" x14ac:dyDescent="0.25">
      <c r="B162" s="10" t="s">
        <v>2391</v>
      </c>
      <c r="C162" s="62"/>
      <c r="D162" s="38">
        <v>1</v>
      </c>
      <c r="E162" s="38">
        <v>184</v>
      </c>
    </row>
    <row r="163" spans="2:5" s="3" customFormat="1" x14ac:dyDescent="0.25">
      <c r="B163" s="10" t="s">
        <v>2392</v>
      </c>
      <c r="C163" s="62" t="s">
        <v>2483</v>
      </c>
      <c r="D163" s="38">
        <v>2</v>
      </c>
      <c r="E163" s="38">
        <v>215</v>
      </c>
    </row>
    <row r="164" spans="2:5" s="3" customFormat="1" x14ac:dyDescent="0.25">
      <c r="B164" s="10" t="s">
        <v>2393</v>
      </c>
      <c r="C164" s="62"/>
      <c r="D164" s="38">
        <v>0</v>
      </c>
      <c r="E164" s="38">
        <v>185</v>
      </c>
    </row>
    <row r="165" spans="2:5" s="3" customFormat="1" x14ac:dyDescent="0.25">
      <c r="B165" s="10" t="s">
        <v>2394</v>
      </c>
      <c r="C165" s="62" t="s">
        <v>2484</v>
      </c>
      <c r="D165" s="38">
        <v>2</v>
      </c>
      <c r="E165" s="38">
        <v>202</v>
      </c>
    </row>
    <row r="166" spans="2:5" s="3" customFormat="1" x14ac:dyDescent="0.25">
      <c r="B166" s="10" t="s">
        <v>2395</v>
      </c>
      <c r="C166" s="62"/>
      <c r="D166" s="38">
        <v>1</v>
      </c>
      <c r="E166" s="38">
        <v>283</v>
      </c>
    </row>
    <row r="167" spans="2:5" s="3" customFormat="1" x14ac:dyDescent="0.25">
      <c r="B167" s="10" t="s">
        <v>2396</v>
      </c>
      <c r="C167" s="62" t="s">
        <v>1692</v>
      </c>
      <c r="D167" s="38">
        <v>0</v>
      </c>
      <c r="E167" s="38">
        <v>449</v>
      </c>
    </row>
    <row r="168" spans="2:5" s="3" customFormat="1" x14ac:dyDescent="0.25">
      <c r="B168" s="10" t="s">
        <v>2397</v>
      </c>
      <c r="C168" s="62" t="s">
        <v>2485</v>
      </c>
      <c r="D168" s="38">
        <v>2</v>
      </c>
      <c r="E168" s="38">
        <v>319</v>
      </c>
    </row>
    <row r="169" spans="2:5" s="3" customFormat="1" x14ac:dyDescent="0.25">
      <c r="B169" s="10" t="s">
        <v>2409</v>
      </c>
      <c r="C169" s="62" t="s">
        <v>2410</v>
      </c>
      <c r="D169" s="38">
        <v>5</v>
      </c>
      <c r="E169" s="38">
        <v>548</v>
      </c>
    </row>
    <row r="170" spans="2:5" s="3" customFormat="1" x14ac:dyDescent="0.25">
      <c r="B170" s="10" t="s">
        <v>2724</v>
      </c>
      <c r="C170" s="62" t="s">
        <v>2725</v>
      </c>
      <c r="D170" s="38">
        <v>2</v>
      </c>
      <c r="E170" s="38">
        <v>431</v>
      </c>
    </row>
    <row r="171" spans="2:5" s="3" customFormat="1" x14ac:dyDescent="0.25">
      <c r="B171" s="10" t="s">
        <v>3263</v>
      </c>
      <c r="C171" s="62" t="s">
        <v>3264</v>
      </c>
      <c r="D171" s="38">
        <v>3</v>
      </c>
      <c r="E171" s="38">
        <v>188</v>
      </c>
    </row>
    <row r="172" spans="2:5" s="3" customFormat="1" x14ac:dyDescent="0.25">
      <c r="B172" s="10" t="s">
        <v>2411</v>
      </c>
      <c r="C172" s="62"/>
      <c r="D172" s="38">
        <v>3</v>
      </c>
      <c r="E172" s="38">
        <v>350</v>
      </c>
    </row>
    <row r="173" spans="2:5" s="3" customFormat="1" x14ac:dyDescent="0.25">
      <c r="B173" s="10" t="s">
        <v>2412</v>
      </c>
      <c r="C173" s="62" t="s">
        <v>2486</v>
      </c>
      <c r="D173" s="38">
        <v>2</v>
      </c>
      <c r="E173" s="38">
        <v>301</v>
      </c>
    </row>
    <row r="174" spans="2:5" s="3" customFormat="1" x14ac:dyDescent="0.25">
      <c r="B174" s="10" t="s">
        <v>2508</v>
      </c>
      <c r="C174" s="62"/>
      <c r="D174" s="38">
        <v>2</v>
      </c>
      <c r="E174" s="38">
        <v>595</v>
      </c>
    </row>
    <row r="175" spans="2:5" s="3" customFormat="1" x14ac:dyDescent="0.25">
      <c r="B175" s="10" t="s">
        <v>2726</v>
      </c>
      <c r="C175" s="62" t="s">
        <v>2727</v>
      </c>
      <c r="D175" s="38">
        <v>3</v>
      </c>
      <c r="E175" s="38">
        <v>188</v>
      </c>
    </row>
    <row r="176" spans="2:5" s="3" customFormat="1" x14ac:dyDescent="0.25">
      <c r="B176" s="10" t="s">
        <v>2510</v>
      </c>
      <c r="C176" s="62" t="s">
        <v>2511</v>
      </c>
      <c r="D176" s="38">
        <v>2</v>
      </c>
      <c r="E176" s="38">
        <v>208</v>
      </c>
    </row>
    <row r="177" spans="2:5" s="3" customFormat="1" x14ac:dyDescent="0.25">
      <c r="B177" s="10" t="s">
        <v>2512</v>
      </c>
      <c r="C177" s="62" t="s">
        <v>2485</v>
      </c>
      <c r="D177" s="38">
        <v>2</v>
      </c>
      <c r="E177" s="38">
        <v>341</v>
      </c>
    </row>
    <row r="178" spans="2:5" s="3" customFormat="1" x14ac:dyDescent="0.25">
      <c r="B178" s="10" t="s">
        <v>2513</v>
      </c>
      <c r="C178" s="62" t="s">
        <v>2514</v>
      </c>
      <c r="D178" s="38">
        <v>9</v>
      </c>
      <c r="E178" s="38">
        <v>187</v>
      </c>
    </row>
    <row r="179" spans="2:5" s="3" customFormat="1" x14ac:dyDescent="0.25">
      <c r="B179" s="10" t="s">
        <v>2525</v>
      </c>
      <c r="C179" s="62"/>
      <c r="D179" s="38">
        <v>2</v>
      </c>
      <c r="E179" s="38">
        <v>460</v>
      </c>
    </row>
    <row r="180" spans="2:5" s="3" customFormat="1" x14ac:dyDescent="0.25">
      <c r="B180" s="10" t="s">
        <v>2526</v>
      </c>
      <c r="C180" s="62"/>
      <c r="D180" s="38">
        <v>2</v>
      </c>
      <c r="E180" s="38">
        <v>460</v>
      </c>
    </row>
    <row r="181" spans="2:5" s="3" customFormat="1" x14ac:dyDescent="0.25">
      <c r="B181" s="10" t="s">
        <v>2527</v>
      </c>
      <c r="C181" s="62"/>
      <c r="D181" s="38">
        <v>2</v>
      </c>
      <c r="E181" s="38">
        <v>403</v>
      </c>
    </row>
    <row r="182" spans="2:5" s="3" customFormat="1" x14ac:dyDescent="0.25">
      <c r="B182" s="10" t="s">
        <v>2528</v>
      </c>
      <c r="C182" s="62"/>
      <c r="D182" s="38">
        <v>2</v>
      </c>
      <c r="E182" s="38">
        <v>220</v>
      </c>
    </row>
    <row r="183" spans="2:5" s="3" customFormat="1" x14ac:dyDescent="0.25">
      <c r="B183" s="10" t="s">
        <v>2529</v>
      </c>
      <c r="C183" s="62"/>
      <c r="D183" s="38">
        <v>4</v>
      </c>
      <c r="E183" s="38">
        <v>293</v>
      </c>
    </row>
    <row r="184" spans="2:5" s="3" customFormat="1" x14ac:dyDescent="0.25">
      <c r="B184" s="10" t="s">
        <v>2745</v>
      </c>
      <c r="C184" s="62"/>
      <c r="D184" s="38">
        <v>1</v>
      </c>
      <c r="E184" s="38">
        <v>627</v>
      </c>
    </row>
    <row r="185" spans="2:5" s="3" customFormat="1" x14ac:dyDescent="0.25">
      <c r="B185" s="10" t="s">
        <v>2748</v>
      </c>
      <c r="C185" s="62" t="s">
        <v>2749</v>
      </c>
      <c r="D185" s="38">
        <v>6</v>
      </c>
      <c r="E185" s="38">
        <v>440</v>
      </c>
    </row>
    <row r="186" spans="2:5" s="3" customFormat="1" x14ac:dyDescent="0.25">
      <c r="B186" s="10" t="s">
        <v>2862</v>
      </c>
      <c r="C186" s="62"/>
      <c r="D186" s="38">
        <v>1</v>
      </c>
      <c r="E186" s="38">
        <v>296</v>
      </c>
    </row>
    <row r="187" spans="2:5" s="3" customFormat="1" x14ac:dyDescent="0.25">
      <c r="B187" s="10" t="s">
        <v>2863</v>
      </c>
      <c r="C187" s="62"/>
      <c r="D187" s="38">
        <v>1</v>
      </c>
      <c r="E187" s="38">
        <v>457</v>
      </c>
    </row>
    <row r="188" spans="2:5" s="3" customFormat="1" x14ac:dyDescent="0.25">
      <c r="B188" s="10" t="s">
        <v>2864</v>
      </c>
      <c r="C188" s="62"/>
      <c r="D188" s="38">
        <v>1</v>
      </c>
      <c r="E188" s="38">
        <v>185</v>
      </c>
    </row>
    <row r="189" spans="2:5" s="3" customFormat="1" x14ac:dyDescent="0.25">
      <c r="B189" s="10" t="s">
        <v>3027</v>
      </c>
      <c r="C189" s="62"/>
      <c r="D189" s="38">
        <v>4</v>
      </c>
      <c r="E189" s="38">
        <v>447</v>
      </c>
    </row>
    <row r="190" spans="2:5" s="3" customFormat="1" x14ac:dyDescent="0.25">
      <c r="B190" s="10" t="s">
        <v>3184</v>
      </c>
      <c r="C190" s="62" t="s">
        <v>3193</v>
      </c>
      <c r="D190" s="38">
        <v>2</v>
      </c>
      <c r="E190" s="38">
        <v>195</v>
      </c>
    </row>
    <row r="191" spans="2:5" s="3" customFormat="1" x14ac:dyDescent="0.25">
      <c r="B191" s="10" t="s">
        <v>3185</v>
      </c>
      <c r="C191" s="62"/>
      <c r="D191" s="38">
        <v>4</v>
      </c>
      <c r="E191" s="38">
        <v>215</v>
      </c>
    </row>
    <row r="192" spans="2:5" s="3" customFormat="1" x14ac:dyDescent="0.25">
      <c r="B192" s="10" t="s">
        <v>3259</v>
      </c>
      <c r="C192" s="62" t="s">
        <v>3260</v>
      </c>
      <c r="D192" s="38">
        <v>6</v>
      </c>
      <c r="E192" s="38">
        <v>360</v>
      </c>
    </row>
    <row r="193" spans="1:6" s="3" customFormat="1" x14ac:dyDescent="0.25">
      <c r="B193" s="10" t="s">
        <v>3289</v>
      </c>
      <c r="C193" s="62"/>
      <c r="D193" s="38">
        <v>0</v>
      </c>
      <c r="E193" s="38">
        <v>191</v>
      </c>
    </row>
    <row r="194" spans="1:6" s="3" customFormat="1" x14ac:dyDescent="0.25">
      <c r="B194" s="10" t="s">
        <v>3290</v>
      </c>
      <c r="C194" s="62"/>
      <c r="D194" s="38">
        <v>4</v>
      </c>
      <c r="E194" s="38">
        <v>220</v>
      </c>
    </row>
    <row r="195" spans="1:6" s="3" customFormat="1" x14ac:dyDescent="0.25">
      <c r="B195" s="10" t="s">
        <v>3891</v>
      </c>
      <c r="C195" s="62"/>
      <c r="D195" s="38">
        <v>1</v>
      </c>
      <c r="E195" s="38">
        <v>633</v>
      </c>
    </row>
    <row r="196" spans="1:6" s="3" customFormat="1" x14ac:dyDescent="0.25">
      <c r="B196" s="38">
        <v>1019</v>
      </c>
      <c r="C196" s="62"/>
      <c r="D196" s="38">
        <v>0</v>
      </c>
      <c r="E196" s="38"/>
    </row>
    <row r="197" spans="1:6" s="3" customFormat="1" x14ac:dyDescent="0.25">
      <c r="B197" s="38" t="s">
        <v>4176</v>
      </c>
      <c r="C197" s="62"/>
      <c r="D197" s="38">
        <v>6</v>
      </c>
      <c r="E197" s="38">
        <v>732</v>
      </c>
    </row>
    <row r="198" spans="1:6" s="3" customFormat="1" x14ac:dyDescent="0.25">
      <c r="B198" s="38" t="s">
        <v>4267</v>
      </c>
      <c r="C198" s="62"/>
      <c r="D198" s="38">
        <v>2</v>
      </c>
      <c r="E198" s="38">
        <v>345</v>
      </c>
    </row>
    <row r="199" spans="1:6" s="3" customFormat="1" x14ac:dyDescent="0.25">
      <c r="B199" s="38" t="s">
        <v>4294</v>
      </c>
      <c r="C199" s="62"/>
      <c r="D199" s="38">
        <v>8</v>
      </c>
      <c r="E199" s="38">
        <v>683</v>
      </c>
    </row>
    <row r="200" spans="1:6" s="3" customFormat="1" x14ac:dyDescent="0.25">
      <c r="B200" s="38"/>
      <c r="C200" s="62"/>
      <c r="D200" s="38"/>
      <c r="E200" s="38"/>
    </row>
    <row r="201" spans="1:6" s="3" customFormat="1" x14ac:dyDescent="0.25">
      <c r="B201" s="38"/>
      <c r="C201" s="62"/>
      <c r="D201" s="38"/>
      <c r="E201" s="38"/>
    </row>
    <row r="202" spans="1:6" s="3" customFormat="1" ht="15.75" x14ac:dyDescent="0.25">
      <c r="B202" s="61"/>
      <c r="C202" s="65" t="s">
        <v>2144</v>
      </c>
      <c r="D202" s="61"/>
      <c r="E202" s="61"/>
    </row>
    <row r="203" spans="1:6" s="3" customFormat="1" x14ac:dyDescent="0.25">
      <c r="B203" s="61"/>
      <c r="C203" s="62"/>
      <c r="D203" s="61"/>
      <c r="E203" s="61"/>
    </row>
    <row r="204" spans="1:6" s="3" customFormat="1" x14ac:dyDescent="0.25">
      <c r="B204" s="61"/>
      <c r="C204" s="62"/>
      <c r="D204" s="61"/>
      <c r="E204" s="61"/>
    </row>
    <row r="205" spans="1:6" x14ac:dyDescent="0.25">
      <c r="A205" s="7">
        <v>1</v>
      </c>
      <c r="B205" s="7" t="s">
        <v>1877</v>
      </c>
      <c r="C205" s="7" t="s">
        <v>1886</v>
      </c>
      <c r="D205" s="7">
        <v>8</v>
      </c>
      <c r="E205" s="7">
        <v>265</v>
      </c>
      <c r="F205" s="10">
        <v>298</v>
      </c>
    </row>
    <row r="206" spans="1:6" x14ac:dyDescent="0.25">
      <c r="A206" s="7">
        <v>2</v>
      </c>
      <c r="B206" s="7" t="s">
        <v>1878</v>
      </c>
      <c r="C206" s="7" t="s">
        <v>1887</v>
      </c>
      <c r="D206" s="7">
        <v>5</v>
      </c>
      <c r="E206" s="7">
        <v>335</v>
      </c>
      <c r="F206" s="10">
        <v>376</v>
      </c>
    </row>
    <row r="207" spans="1:6" x14ac:dyDescent="0.25">
      <c r="A207" s="7">
        <v>3</v>
      </c>
      <c r="B207" s="7" t="s">
        <v>1879</v>
      </c>
      <c r="C207" s="7" t="s">
        <v>1888</v>
      </c>
      <c r="D207" s="7">
        <v>5</v>
      </c>
      <c r="E207" s="7">
        <v>257</v>
      </c>
      <c r="F207" s="10">
        <v>239</v>
      </c>
    </row>
    <row r="208" spans="1:6" x14ac:dyDescent="0.25">
      <c r="A208" s="7">
        <v>4</v>
      </c>
      <c r="B208" s="7" t="s">
        <v>1880</v>
      </c>
      <c r="C208" s="7" t="s">
        <v>1889</v>
      </c>
      <c r="D208" s="7">
        <v>0</v>
      </c>
      <c r="E208" s="7">
        <v>241</v>
      </c>
      <c r="F208" s="10">
        <v>246</v>
      </c>
    </row>
    <row r="209" spans="1:6" x14ac:dyDescent="0.25">
      <c r="A209" s="7">
        <v>5</v>
      </c>
      <c r="B209" s="7" t="s">
        <v>1881</v>
      </c>
      <c r="C209" s="7" t="s">
        <v>1890</v>
      </c>
      <c r="D209" s="7">
        <v>1</v>
      </c>
      <c r="E209" s="7">
        <v>254</v>
      </c>
      <c r="F209" s="10">
        <v>262</v>
      </c>
    </row>
    <row r="210" spans="1:6" x14ac:dyDescent="0.25">
      <c r="A210" s="7">
        <v>6</v>
      </c>
      <c r="B210" s="7" t="s">
        <v>1882</v>
      </c>
      <c r="C210" s="7" t="s">
        <v>1891</v>
      </c>
      <c r="D210" s="7">
        <v>2</v>
      </c>
      <c r="E210" s="7">
        <v>280</v>
      </c>
      <c r="F210" s="10">
        <v>286</v>
      </c>
    </row>
    <row r="211" spans="1:6" x14ac:dyDescent="0.25">
      <c r="A211" s="7">
        <v>7</v>
      </c>
      <c r="B211" s="7" t="s">
        <v>1883</v>
      </c>
      <c r="C211" s="7" t="s">
        <v>1892</v>
      </c>
      <c r="D211" s="7">
        <v>0</v>
      </c>
      <c r="E211" s="7">
        <v>255</v>
      </c>
      <c r="F211" s="10">
        <v>263</v>
      </c>
    </row>
    <row r="212" spans="1:6" x14ac:dyDescent="0.25">
      <c r="A212" s="7">
        <v>8</v>
      </c>
      <c r="B212" s="7" t="s">
        <v>1884</v>
      </c>
      <c r="C212" s="7" t="s">
        <v>1893</v>
      </c>
      <c r="D212" s="7">
        <v>5</v>
      </c>
      <c r="E212" s="7">
        <v>319</v>
      </c>
      <c r="F212" s="10">
        <v>325</v>
      </c>
    </row>
    <row r="213" spans="1:6" x14ac:dyDescent="0.25">
      <c r="A213" s="7">
        <v>9</v>
      </c>
      <c r="B213" s="7" t="s">
        <v>2089</v>
      </c>
      <c r="C213" s="7" t="s">
        <v>1894</v>
      </c>
      <c r="D213" s="7">
        <v>10</v>
      </c>
      <c r="E213" s="7">
        <v>254</v>
      </c>
      <c r="F213" s="10">
        <v>254</v>
      </c>
    </row>
    <row r="214" spans="1:6" x14ac:dyDescent="0.25">
      <c r="A214" s="7">
        <v>10</v>
      </c>
      <c r="B214" s="7" t="s">
        <v>1885</v>
      </c>
      <c r="C214" s="7" t="s">
        <v>1895</v>
      </c>
      <c r="D214" s="7">
        <v>4</v>
      </c>
      <c r="E214" s="7">
        <v>255</v>
      </c>
      <c r="F214" s="10">
        <v>260</v>
      </c>
    </row>
    <row r="217" spans="1:6" s="3" customFormat="1" x14ac:dyDescent="0.25"/>
    <row r="218" spans="1:6" s="3" customFormat="1" x14ac:dyDescent="0.25">
      <c r="B218" s="3" t="s">
        <v>3609</v>
      </c>
    </row>
    <row r="219" spans="1:6" s="3" customFormat="1" x14ac:dyDescent="0.25">
      <c r="B219" s="3" t="s">
        <v>3610</v>
      </c>
    </row>
    <row r="220" spans="1:6" s="3" customFormat="1" x14ac:dyDescent="0.25"/>
    <row r="222" spans="1:6" x14ac:dyDescent="0.25">
      <c r="B222" s="7" t="s">
        <v>638</v>
      </c>
      <c r="C222" s="7" t="s">
        <v>639</v>
      </c>
      <c r="D222" s="7">
        <v>0</v>
      </c>
    </row>
    <row r="224" spans="1:6" x14ac:dyDescent="0.25">
      <c r="B224" s="14" t="s">
        <v>650</v>
      </c>
      <c r="C224" s="7" t="s">
        <v>3206</v>
      </c>
      <c r="D224" s="14">
        <v>5</v>
      </c>
      <c r="E224" s="14">
        <v>572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36"/>
  <sheetViews>
    <sheetView topLeftCell="B1" workbookViewId="0">
      <selection activeCell="C9" sqref="C9"/>
    </sheetView>
  </sheetViews>
  <sheetFormatPr defaultRowHeight="15" x14ac:dyDescent="0.25"/>
  <cols>
    <col min="1" max="1" width="6.85546875" customWidth="1"/>
    <col min="2" max="2" width="37.42578125" customWidth="1"/>
    <col min="3" max="3" width="20.28515625" style="3" customWidth="1"/>
    <col min="4" max="4" width="6" customWidth="1"/>
    <col min="5" max="5" width="11.85546875" customWidth="1"/>
    <col min="6" max="6" width="13.5703125" customWidth="1"/>
    <col min="7" max="7" width="18.28515625" style="4" customWidth="1"/>
    <col min="8" max="8" width="16.28515625" style="4" customWidth="1"/>
  </cols>
  <sheetData>
    <row r="1" spans="1:8" x14ac:dyDescent="0.25">
      <c r="A1" s="3" t="s">
        <v>592</v>
      </c>
      <c r="B1" s="3" t="s">
        <v>593</v>
      </c>
      <c r="C1" s="3" t="s">
        <v>449</v>
      </c>
      <c r="D1" s="3" t="s">
        <v>594</v>
      </c>
      <c r="E1" s="3" t="s">
        <v>722</v>
      </c>
      <c r="F1" s="3" t="s">
        <v>595</v>
      </c>
    </row>
    <row r="2" spans="1:8" x14ac:dyDescent="0.25">
      <c r="A2">
        <v>1</v>
      </c>
      <c r="B2" s="3" t="s">
        <v>1712</v>
      </c>
      <c r="C2" s="3" t="s">
        <v>3363</v>
      </c>
      <c r="D2">
        <v>7</v>
      </c>
      <c r="E2" s="70">
        <v>2620</v>
      </c>
      <c r="F2" s="70" t="s">
        <v>4515</v>
      </c>
      <c r="G2" s="4">
        <v>2330</v>
      </c>
      <c r="H2" s="4" t="s">
        <v>1717</v>
      </c>
    </row>
    <row r="3" spans="1:8" x14ac:dyDescent="0.25">
      <c r="A3">
        <v>2</v>
      </c>
      <c r="B3" s="3" t="s">
        <v>3968</v>
      </c>
      <c r="C3" s="3" t="s">
        <v>3493</v>
      </c>
      <c r="D3">
        <v>3</v>
      </c>
      <c r="E3" s="70">
        <v>2920</v>
      </c>
      <c r="F3" s="70">
        <v>4253</v>
      </c>
      <c r="G3" s="4">
        <v>2580</v>
      </c>
    </row>
    <row r="4" spans="1:8" x14ac:dyDescent="0.25">
      <c r="A4" s="3">
        <v>3</v>
      </c>
      <c r="B4" s="3" t="s">
        <v>3969</v>
      </c>
      <c r="C4" s="3" t="s">
        <v>2379</v>
      </c>
      <c r="D4">
        <v>3</v>
      </c>
      <c r="E4" s="70">
        <v>2920</v>
      </c>
      <c r="F4" s="70">
        <v>4253</v>
      </c>
      <c r="G4" s="4">
        <v>2580</v>
      </c>
    </row>
    <row r="5" spans="1:8" s="3" customFormat="1" x14ac:dyDescent="0.25">
      <c r="B5" s="3" t="s">
        <v>3971</v>
      </c>
      <c r="C5" s="3" t="s">
        <v>3876</v>
      </c>
      <c r="D5" s="3">
        <v>1</v>
      </c>
      <c r="E5" s="70">
        <v>2920</v>
      </c>
      <c r="F5" s="70">
        <v>3580</v>
      </c>
      <c r="G5" s="4">
        <v>2580</v>
      </c>
      <c r="H5" s="4"/>
    </row>
    <row r="6" spans="1:8" s="3" customFormat="1" x14ac:dyDescent="0.25">
      <c r="B6" s="3" t="s">
        <v>3970</v>
      </c>
      <c r="C6" s="3" t="s">
        <v>3877</v>
      </c>
      <c r="D6" s="3">
        <v>2</v>
      </c>
      <c r="E6" s="70">
        <v>2920</v>
      </c>
      <c r="F6" s="70">
        <v>4263</v>
      </c>
      <c r="G6" s="4">
        <v>2580</v>
      </c>
      <c r="H6" s="4"/>
    </row>
    <row r="7" spans="1:8" x14ac:dyDescent="0.25">
      <c r="A7" s="3">
        <v>4</v>
      </c>
      <c r="B7" s="3" t="s">
        <v>3878</v>
      </c>
      <c r="C7" s="3" t="s">
        <v>2388</v>
      </c>
      <c r="D7">
        <v>2</v>
      </c>
      <c r="E7" s="70">
        <v>2920</v>
      </c>
      <c r="F7" s="70">
        <v>5102</v>
      </c>
      <c r="G7" s="4" t="s">
        <v>1715</v>
      </c>
    </row>
    <row r="8" spans="1:8" x14ac:dyDescent="0.25">
      <c r="A8" s="3">
        <v>5</v>
      </c>
      <c r="B8" s="3" t="s">
        <v>2385</v>
      </c>
      <c r="C8" s="3" t="s">
        <v>3663</v>
      </c>
      <c r="D8">
        <v>3</v>
      </c>
      <c r="E8" s="70">
        <v>2910</v>
      </c>
      <c r="F8" s="70">
        <v>5105</v>
      </c>
      <c r="G8" s="4" t="s">
        <v>1716</v>
      </c>
    </row>
    <row r="9" spans="1:8" x14ac:dyDescent="0.25">
      <c r="A9" s="3">
        <v>6</v>
      </c>
      <c r="B9" s="3" t="s">
        <v>2221</v>
      </c>
      <c r="E9" s="70"/>
      <c r="F9" s="70"/>
    </row>
    <row r="10" spans="1:8" s="3" customFormat="1" x14ac:dyDescent="0.25">
      <c r="E10" s="70"/>
      <c r="F10" s="70"/>
      <c r="G10" s="4"/>
      <c r="H10" s="4"/>
    </row>
    <row r="11" spans="1:8" x14ac:dyDescent="0.25">
      <c r="A11" s="3">
        <v>7</v>
      </c>
      <c r="B11" s="3" t="s">
        <v>2386</v>
      </c>
      <c r="C11" s="3" t="s">
        <v>2380</v>
      </c>
      <c r="D11">
        <v>5</v>
      </c>
      <c r="E11" s="70">
        <v>3380</v>
      </c>
      <c r="F11" s="70">
        <v>4951</v>
      </c>
      <c r="G11" s="4">
        <v>3100</v>
      </c>
    </row>
    <row r="12" spans="1:8" x14ac:dyDescent="0.25">
      <c r="A12" s="3">
        <v>8</v>
      </c>
      <c r="B12" s="3" t="s">
        <v>2222</v>
      </c>
      <c r="C12" s="3" t="s">
        <v>2389</v>
      </c>
      <c r="D12">
        <v>7</v>
      </c>
      <c r="E12" s="70">
        <v>3150</v>
      </c>
      <c r="F12" s="70">
        <v>4491</v>
      </c>
      <c r="G12" s="4">
        <v>2740</v>
      </c>
    </row>
    <row r="13" spans="1:8" x14ac:dyDescent="0.25">
      <c r="A13" s="3">
        <v>9</v>
      </c>
      <c r="B13" s="3" t="s">
        <v>3700</v>
      </c>
      <c r="C13" s="3" t="s">
        <v>2381</v>
      </c>
      <c r="D13">
        <v>7</v>
      </c>
      <c r="E13" s="70">
        <v>3130</v>
      </c>
      <c r="F13" s="70">
        <v>4574</v>
      </c>
    </row>
    <row r="14" spans="1:8" s="3" customFormat="1" x14ac:dyDescent="0.25">
      <c r="A14" s="3">
        <v>10</v>
      </c>
      <c r="B14" s="3" t="s">
        <v>3699</v>
      </c>
      <c r="C14" s="3" t="s">
        <v>2382</v>
      </c>
      <c r="D14" s="3">
        <v>2</v>
      </c>
      <c r="E14" s="70">
        <v>3130</v>
      </c>
      <c r="F14" s="70">
        <v>4566</v>
      </c>
      <c r="G14" s="4"/>
      <c r="H14" s="4"/>
    </row>
    <row r="15" spans="1:8" x14ac:dyDescent="0.25">
      <c r="A15" s="3">
        <v>11</v>
      </c>
      <c r="B15" s="3" t="s">
        <v>2337</v>
      </c>
      <c r="C15" s="3" t="s">
        <v>2387</v>
      </c>
      <c r="D15">
        <v>9</v>
      </c>
      <c r="E15" s="70">
        <v>3230</v>
      </c>
      <c r="F15" s="70">
        <v>4734</v>
      </c>
    </row>
    <row r="16" spans="1:8" s="3" customFormat="1" x14ac:dyDescent="0.25">
      <c r="B16" s="3" t="s">
        <v>3875</v>
      </c>
      <c r="C16" s="3">
        <v>3036</v>
      </c>
      <c r="D16" s="3">
        <v>3</v>
      </c>
      <c r="E16" s="70">
        <v>3120</v>
      </c>
      <c r="F16" s="70">
        <v>4566</v>
      </c>
      <c r="G16" s="4"/>
      <c r="H16" s="4"/>
    </row>
    <row r="17" spans="1:8" s="3" customFormat="1" x14ac:dyDescent="0.25">
      <c r="B17" s="3" t="s">
        <v>4529</v>
      </c>
      <c r="C17" s="3">
        <v>3072</v>
      </c>
      <c r="D17" s="3">
        <v>0</v>
      </c>
      <c r="E17" s="70">
        <v>3760</v>
      </c>
      <c r="F17" s="70"/>
      <c r="G17" s="4"/>
      <c r="H17" s="4"/>
    </row>
    <row r="18" spans="1:8" x14ac:dyDescent="0.25">
      <c r="A18" s="3">
        <v>12</v>
      </c>
      <c r="B18" s="3" t="s">
        <v>2481</v>
      </c>
      <c r="C18" s="3" t="s">
        <v>3010</v>
      </c>
      <c r="D18">
        <v>2</v>
      </c>
      <c r="E18" s="70">
        <v>3530</v>
      </c>
      <c r="F18" s="70" t="s">
        <v>4502</v>
      </c>
      <c r="G18" s="4">
        <v>3150</v>
      </c>
    </row>
    <row r="19" spans="1:8" s="3" customFormat="1" x14ac:dyDescent="0.25">
      <c r="A19" s="3">
        <v>13</v>
      </c>
      <c r="B19" s="3" t="s">
        <v>2482</v>
      </c>
      <c r="C19" s="3" t="s">
        <v>3011</v>
      </c>
      <c r="D19" s="3">
        <v>6</v>
      </c>
      <c r="E19" s="70">
        <v>3530</v>
      </c>
      <c r="F19" s="70" t="s">
        <v>4502</v>
      </c>
      <c r="G19" s="4">
        <v>3150</v>
      </c>
      <c r="H19" s="4"/>
    </row>
    <row r="20" spans="1:8" s="3" customFormat="1" x14ac:dyDescent="0.25">
      <c r="A20" s="3">
        <v>14</v>
      </c>
      <c r="B20" s="3" t="s">
        <v>2384</v>
      </c>
      <c r="C20" s="3" t="s">
        <v>2383</v>
      </c>
      <c r="D20" s="3">
        <v>1</v>
      </c>
      <c r="E20" s="70">
        <v>3310</v>
      </c>
      <c r="F20" s="70">
        <v>4845</v>
      </c>
      <c r="G20" s="4">
        <v>2940</v>
      </c>
      <c r="H20" s="4"/>
    </row>
    <row r="21" spans="1:8" s="3" customFormat="1" x14ac:dyDescent="0.25">
      <c r="A21" s="3">
        <v>15</v>
      </c>
      <c r="B21" s="3" t="s">
        <v>2758</v>
      </c>
      <c r="C21" s="3" t="s">
        <v>2383</v>
      </c>
      <c r="D21" s="3">
        <v>2</v>
      </c>
      <c r="E21" s="70">
        <v>3310</v>
      </c>
      <c r="F21" s="70">
        <v>4845</v>
      </c>
      <c r="G21" s="4"/>
      <c r="H21" s="4"/>
    </row>
    <row r="22" spans="1:8" x14ac:dyDescent="0.25">
      <c r="A22" s="3">
        <v>16</v>
      </c>
      <c r="B22" s="3" t="s">
        <v>3655</v>
      </c>
      <c r="C22" s="3" t="s">
        <v>4007</v>
      </c>
      <c r="D22">
        <v>6</v>
      </c>
      <c r="E22" s="70">
        <v>3150</v>
      </c>
      <c r="F22" s="70">
        <v>4562</v>
      </c>
      <c r="G22" s="4">
        <v>2920</v>
      </c>
    </row>
    <row r="23" spans="1:8" x14ac:dyDescent="0.25">
      <c r="A23" s="3">
        <v>17</v>
      </c>
      <c r="B23" s="3" t="s">
        <v>3962</v>
      </c>
      <c r="C23" s="3" t="s">
        <v>3009</v>
      </c>
      <c r="D23">
        <v>3</v>
      </c>
      <c r="E23" s="70">
        <v>3150</v>
      </c>
      <c r="F23" s="70">
        <v>4573</v>
      </c>
      <c r="G23" s="4">
        <v>2920</v>
      </c>
    </row>
    <row r="24" spans="1:8" x14ac:dyDescent="0.25">
      <c r="A24" s="3">
        <v>18</v>
      </c>
      <c r="B24" s="3" t="s">
        <v>3656</v>
      </c>
      <c r="C24" s="3" t="s">
        <v>3296</v>
      </c>
      <c r="D24">
        <v>3</v>
      </c>
      <c r="E24" s="70">
        <v>3110</v>
      </c>
      <c r="F24" s="70">
        <v>4562</v>
      </c>
      <c r="G24" s="4">
        <v>2920</v>
      </c>
    </row>
    <row r="25" spans="1:8" s="3" customFormat="1" x14ac:dyDescent="0.25">
      <c r="B25" s="3" t="s">
        <v>3977</v>
      </c>
      <c r="C25" s="3" t="s">
        <v>3365</v>
      </c>
      <c r="D25" s="3">
        <v>2</v>
      </c>
      <c r="E25" s="70">
        <v>7950</v>
      </c>
      <c r="F25" s="70">
        <v>12541</v>
      </c>
      <c r="G25" s="4" t="s">
        <v>4518</v>
      </c>
      <c r="H25" s="4"/>
    </row>
    <row r="26" spans="1:8" x14ac:dyDescent="0.25">
      <c r="A26" s="3">
        <v>19</v>
      </c>
      <c r="B26" s="3" t="s">
        <v>3978</v>
      </c>
      <c r="C26" s="3" t="s">
        <v>3979</v>
      </c>
      <c r="D26">
        <v>2</v>
      </c>
      <c r="E26" s="70">
        <v>7950</v>
      </c>
      <c r="F26" s="70">
        <v>13265</v>
      </c>
      <c r="G26" s="4" t="s">
        <v>4581</v>
      </c>
    </row>
    <row r="27" spans="1:8" x14ac:dyDescent="0.25">
      <c r="A27" s="3">
        <v>20</v>
      </c>
      <c r="B27" s="3" t="s">
        <v>3364</v>
      </c>
      <c r="C27" s="3" t="s">
        <v>3366</v>
      </c>
      <c r="D27">
        <v>2</v>
      </c>
      <c r="E27" s="70">
        <v>8400</v>
      </c>
      <c r="F27" s="70">
        <v>13029</v>
      </c>
      <c r="G27" s="4" t="s">
        <v>4580</v>
      </c>
    </row>
    <row r="28" spans="1:8" s="3" customFormat="1" x14ac:dyDescent="0.25">
      <c r="A28" s="3">
        <v>21</v>
      </c>
      <c r="B28" s="3" t="s">
        <v>3364</v>
      </c>
      <c r="C28" s="3" t="s">
        <v>3682</v>
      </c>
      <c r="D28" s="3">
        <v>0</v>
      </c>
      <c r="E28" s="70">
        <v>8400</v>
      </c>
      <c r="F28" s="70" t="s">
        <v>4545</v>
      </c>
      <c r="G28" s="4" t="s">
        <v>4527</v>
      </c>
      <c r="H28" s="4"/>
    </row>
    <row r="29" spans="1:8" x14ac:dyDescent="0.25">
      <c r="A29" s="3">
        <v>22</v>
      </c>
      <c r="B29" s="3" t="s">
        <v>3368</v>
      </c>
      <c r="C29" s="3" t="s">
        <v>3369</v>
      </c>
      <c r="D29">
        <v>1</v>
      </c>
      <c r="E29" s="70">
        <v>7950</v>
      </c>
      <c r="F29" s="70">
        <v>14130</v>
      </c>
      <c r="G29" s="4" t="s">
        <v>3961</v>
      </c>
      <c r="H29" s="4">
        <v>7580</v>
      </c>
    </row>
    <row r="30" spans="1:8" x14ac:dyDescent="0.25">
      <c r="A30" s="3">
        <v>23</v>
      </c>
      <c r="B30" s="3" t="s">
        <v>3639</v>
      </c>
      <c r="C30" s="3" t="s">
        <v>3640</v>
      </c>
      <c r="D30">
        <v>1</v>
      </c>
      <c r="E30" s="70">
        <v>7950</v>
      </c>
      <c r="F30" s="70">
        <v>12896</v>
      </c>
      <c r="G30" s="4" t="s">
        <v>4518</v>
      </c>
    </row>
    <row r="31" spans="1:8" x14ac:dyDescent="0.25">
      <c r="A31" s="3">
        <v>24</v>
      </c>
      <c r="B31" s="3" t="s">
        <v>3645</v>
      </c>
      <c r="C31" s="3" t="s">
        <v>3980</v>
      </c>
      <c r="D31">
        <v>2</v>
      </c>
      <c r="E31" s="70">
        <v>7950</v>
      </c>
      <c r="F31" s="70">
        <v>12190</v>
      </c>
      <c r="G31" s="4" t="s">
        <v>4528</v>
      </c>
      <c r="H31" s="4">
        <v>7580</v>
      </c>
    </row>
    <row r="32" spans="1:8" s="3" customFormat="1" x14ac:dyDescent="0.25">
      <c r="B32" s="3" t="s">
        <v>3981</v>
      </c>
      <c r="C32" s="3" t="s">
        <v>3982</v>
      </c>
      <c r="D32" s="3">
        <v>2</v>
      </c>
      <c r="E32" s="70">
        <v>7950</v>
      </c>
      <c r="F32" s="70">
        <v>12887</v>
      </c>
      <c r="G32" s="4" t="s">
        <v>4528</v>
      </c>
      <c r="H32" s="4"/>
    </row>
    <row r="33" spans="1:8" s="3" customFormat="1" x14ac:dyDescent="0.25">
      <c r="B33" s="3" t="s">
        <v>3981</v>
      </c>
      <c r="C33" s="3" t="s">
        <v>4552</v>
      </c>
      <c r="D33" s="3">
        <v>0</v>
      </c>
      <c r="E33" s="70">
        <v>7950</v>
      </c>
      <c r="F33" s="70">
        <v>12887</v>
      </c>
      <c r="G33" s="4"/>
      <c r="H33" s="4"/>
    </row>
    <row r="34" spans="1:8" x14ac:dyDescent="0.25">
      <c r="A34" s="3">
        <v>25</v>
      </c>
      <c r="B34" s="3" t="s">
        <v>3874</v>
      </c>
    </row>
    <row r="35" spans="1:8" x14ac:dyDescent="0.25">
      <c r="A35" s="3">
        <v>26</v>
      </c>
      <c r="B35" s="3" t="s">
        <v>3771</v>
      </c>
    </row>
    <row r="36" spans="1:8" x14ac:dyDescent="0.25">
      <c r="A36" s="3">
        <v>27</v>
      </c>
      <c r="B36" s="3" t="s">
        <v>3811</v>
      </c>
      <c r="C36" s="3" t="s">
        <v>3640</v>
      </c>
      <c r="D36" s="3">
        <v>0</v>
      </c>
      <c r="E36" s="70">
        <v>7700</v>
      </c>
      <c r="F36" s="7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2"/>
  <sheetViews>
    <sheetView topLeftCell="B4" workbookViewId="0">
      <selection activeCell="B12" sqref="B12:D12"/>
    </sheetView>
  </sheetViews>
  <sheetFormatPr defaultRowHeight="15" x14ac:dyDescent="0.25"/>
  <cols>
    <col min="1" max="1" width="3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8.42578125" style="3" customWidth="1"/>
    <col min="10" max="10" width="10.85546875" customWidth="1"/>
    <col min="11" max="11" width="6.140625" style="3" customWidth="1"/>
  </cols>
  <sheetData>
    <row r="1" spans="1:13" x14ac:dyDescent="0.25">
      <c r="A1" s="3" t="s">
        <v>592</v>
      </c>
      <c r="B1" s="3" t="s">
        <v>449</v>
      </c>
      <c r="C1" s="3" t="s">
        <v>593</v>
      </c>
      <c r="D1" s="3" t="s">
        <v>1976</v>
      </c>
      <c r="E1" s="3" t="s">
        <v>1312</v>
      </c>
      <c r="F1" s="3" t="s">
        <v>595</v>
      </c>
      <c r="I1" s="3" t="s">
        <v>4480</v>
      </c>
      <c r="J1" s="3" t="s">
        <v>1648</v>
      </c>
    </row>
    <row r="2" spans="1:13" x14ac:dyDescent="0.25">
      <c r="B2" s="3" t="s">
        <v>4549</v>
      </c>
      <c r="C2" s="3" t="s">
        <v>1980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56"/>
      <c r="L2">
        <v>5170</v>
      </c>
    </row>
    <row r="3" spans="1:13" x14ac:dyDescent="0.25">
      <c r="B3" s="3" t="s">
        <v>1906</v>
      </c>
      <c r="C3" s="3" t="s">
        <v>1977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56"/>
      <c r="M3" s="3"/>
    </row>
    <row r="4" spans="1:13" x14ac:dyDescent="0.25">
      <c r="B4" s="3" t="s">
        <v>1907</v>
      </c>
      <c r="C4" s="3" t="s">
        <v>1978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56">
        <f>H4+H4*15/100</f>
        <v>5137.28</v>
      </c>
      <c r="M4" s="3"/>
    </row>
    <row r="5" spans="1:13" x14ac:dyDescent="0.25">
      <c r="B5" s="3" t="s">
        <v>1908</v>
      </c>
      <c r="C5" s="3" t="s">
        <v>1979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56">
        <v>5395</v>
      </c>
      <c r="M5" s="3"/>
    </row>
    <row r="6" spans="1:13" x14ac:dyDescent="0.25">
      <c r="B6" s="3" t="s">
        <v>1909</v>
      </c>
      <c r="C6" s="3" t="s">
        <v>1981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56">
        <v>5620</v>
      </c>
      <c r="M6" s="3"/>
    </row>
    <row r="7" spans="1:13" x14ac:dyDescent="0.25">
      <c r="B7" s="3" t="s">
        <v>1910</v>
      </c>
      <c r="C7" s="3" t="s">
        <v>2720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76">
        <v>5250</v>
      </c>
      <c r="K7" s="56"/>
      <c r="M7" s="3"/>
    </row>
    <row r="8" spans="1:13" x14ac:dyDescent="0.25">
      <c r="B8" s="3" t="s">
        <v>1911</v>
      </c>
      <c r="C8" s="3" t="s">
        <v>1434</v>
      </c>
      <c r="D8" s="3">
        <v>26024033</v>
      </c>
      <c r="E8">
        <v>6</v>
      </c>
      <c r="F8" s="3" t="s">
        <v>3271</v>
      </c>
      <c r="G8" s="3">
        <v>4250</v>
      </c>
      <c r="H8" s="3">
        <f t="shared" si="0"/>
        <v>5440</v>
      </c>
      <c r="J8" s="3">
        <v>6195</v>
      </c>
      <c r="K8" s="56">
        <v>6505</v>
      </c>
      <c r="M8" s="3"/>
    </row>
    <row r="9" spans="1:13" s="3" customFormat="1" x14ac:dyDescent="0.25">
      <c r="B9" s="3" t="s">
        <v>2053</v>
      </c>
      <c r="C9" s="3" t="s">
        <v>2246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56"/>
      <c r="L9" s="3">
        <v>5250</v>
      </c>
    </row>
    <row r="10" spans="1:13" x14ac:dyDescent="0.25">
      <c r="B10" s="3" t="s">
        <v>1912</v>
      </c>
      <c r="C10" s="3" t="s">
        <v>1982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56"/>
      <c r="M10" s="3"/>
    </row>
    <row r="11" spans="1:13" s="3" customFormat="1" x14ac:dyDescent="0.25">
      <c r="B11" s="3" t="s">
        <v>2071</v>
      </c>
      <c r="C11" s="3" t="s">
        <v>2075</v>
      </c>
      <c r="E11" s="3">
        <v>0</v>
      </c>
      <c r="F11" s="3">
        <v>7400</v>
      </c>
      <c r="J11" s="3">
        <v>5105</v>
      </c>
      <c r="K11" s="56">
        <v>5100</v>
      </c>
    </row>
    <row r="12" spans="1:13" s="3" customFormat="1" x14ac:dyDescent="0.25">
      <c r="B12" s="3" t="s">
        <v>2072</v>
      </c>
      <c r="C12" s="3" t="s">
        <v>4519</v>
      </c>
      <c r="E12" s="3">
        <v>0</v>
      </c>
      <c r="F12" s="3" t="s">
        <v>4643</v>
      </c>
      <c r="J12" s="3">
        <v>5105</v>
      </c>
      <c r="K12" s="56">
        <v>4800</v>
      </c>
      <c r="L12" s="3">
        <v>5106</v>
      </c>
    </row>
    <row r="13" spans="1:13" s="3" customFormat="1" x14ac:dyDescent="0.25">
      <c r="B13" s="3" t="s">
        <v>2073</v>
      </c>
      <c r="C13" s="3" t="s">
        <v>2076</v>
      </c>
      <c r="E13" s="3">
        <v>1</v>
      </c>
      <c r="F13" s="3">
        <v>7200</v>
      </c>
      <c r="J13" s="3">
        <v>5105</v>
      </c>
      <c r="K13" s="56"/>
    </row>
    <row r="14" spans="1:13" s="3" customFormat="1" x14ac:dyDescent="0.25">
      <c r="B14" s="3" t="s">
        <v>4642</v>
      </c>
      <c r="C14" s="3" t="s">
        <v>1982</v>
      </c>
      <c r="E14" s="3">
        <v>0</v>
      </c>
      <c r="F14" s="3">
        <v>6822</v>
      </c>
      <c r="J14" s="3">
        <v>4800</v>
      </c>
      <c r="K14" s="56"/>
    </row>
    <row r="15" spans="1:13" s="3" customFormat="1" x14ac:dyDescent="0.25">
      <c r="B15" s="3" t="s">
        <v>2234</v>
      </c>
      <c r="C15" s="3" t="s">
        <v>2235</v>
      </c>
      <c r="E15" s="3">
        <v>2</v>
      </c>
      <c r="F15" s="3">
        <v>11950</v>
      </c>
      <c r="J15" s="3">
        <v>8490</v>
      </c>
      <c r="K15" s="56"/>
    </row>
    <row r="16" spans="1:13" s="3" customFormat="1" x14ac:dyDescent="0.25">
      <c r="B16" s="3" t="s">
        <v>2297</v>
      </c>
      <c r="C16" s="3" t="s">
        <v>2312</v>
      </c>
      <c r="E16" s="3">
        <v>2</v>
      </c>
      <c r="F16" s="3">
        <v>6800</v>
      </c>
      <c r="J16" s="3">
        <v>4860</v>
      </c>
      <c r="K16" s="56"/>
    </row>
    <row r="17" spans="2:13" s="3" customFormat="1" x14ac:dyDescent="0.25">
      <c r="B17" s="3" t="s">
        <v>2313</v>
      </c>
      <c r="C17" s="3" t="s">
        <v>2311</v>
      </c>
      <c r="K17" s="56"/>
    </row>
    <row r="18" spans="2:13" s="3" customFormat="1" x14ac:dyDescent="0.25">
      <c r="B18" s="3" t="s">
        <v>2424</v>
      </c>
      <c r="C18" s="3" t="s">
        <v>1709</v>
      </c>
      <c r="E18" s="3">
        <v>0</v>
      </c>
      <c r="F18" s="3">
        <v>8640</v>
      </c>
      <c r="J18" s="3">
        <v>5770</v>
      </c>
      <c r="K18" s="56"/>
    </row>
    <row r="19" spans="2:13" s="3" customFormat="1" x14ac:dyDescent="0.25">
      <c r="B19" s="3" t="s">
        <v>2781</v>
      </c>
      <c r="C19" s="3" t="s">
        <v>2246</v>
      </c>
      <c r="E19" s="3">
        <v>4</v>
      </c>
      <c r="F19" s="3">
        <v>7200</v>
      </c>
      <c r="J19" s="3">
        <v>5035</v>
      </c>
      <c r="K19" s="56"/>
    </row>
    <row r="20" spans="2:13" s="3" customFormat="1" x14ac:dyDescent="0.25">
      <c r="B20" s="3" t="s">
        <v>2850</v>
      </c>
      <c r="C20" s="3" t="s">
        <v>2987</v>
      </c>
      <c r="E20" s="3">
        <v>3</v>
      </c>
      <c r="F20" s="3">
        <v>7200</v>
      </c>
      <c r="J20" s="3">
        <v>5035</v>
      </c>
      <c r="K20" s="56"/>
    </row>
    <row r="21" spans="2:13" s="3" customFormat="1" x14ac:dyDescent="0.25">
      <c r="B21" s="3" t="s">
        <v>2851</v>
      </c>
      <c r="C21" s="3" t="s">
        <v>2329</v>
      </c>
      <c r="E21" s="3">
        <v>1</v>
      </c>
      <c r="F21" s="3">
        <v>7200</v>
      </c>
      <c r="J21" s="3">
        <v>5550</v>
      </c>
      <c r="K21" s="56"/>
    </row>
    <row r="22" spans="2:13" s="3" customFormat="1" x14ac:dyDescent="0.25">
      <c r="B22" s="3" t="s">
        <v>2988</v>
      </c>
      <c r="C22" s="3" t="s">
        <v>2990</v>
      </c>
      <c r="E22" s="3">
        <v>2</v>
      </c>
      <c r="F22" s="3">
        <v>7300</v>
      </c>
      <c r="J22" s="3">
        <v>5350</v>
      </c>
      <c r="K22" s="56">
        <v>5620</v>
      </c>
    </row>
    <row r="23" spans="2:13" s="3" customFormat="1" x14ac:dyDescent="0.25">
      <c r="B23" s="3" t="s">
        <v>3218</v>
      </c>
      <c r="C23" s="3" t="s">
        <v>3226</v>
      </c>
      <c r="E23" s="3">
        <v>1</v>
      </c>
      <c r="F23" s="3">
        <v>9000</v>
      </c>
      <c r="J23" s="3">
        <v>6350</v>
      </c>
      <c r="K23" s="56"/>
    </row>
    <row r="24" spans="2:13" s="3" customFormat="1" x14ac:dyDescent="0.25">
      <c r="B24" s="3" t="s">
        <v>3219</v>
      </c>
      <c r="C24" s="3" t="s">
        <v>2802</v>
      </c>
      <c r="E24" s="3">
        <v>1</v>
      </c>
      <c r="F24" s="3">
        <v>9000</v>
      </c>
      <c r="J24" s="3">
        <v>6330</v>
      </c>
      <c r="K24" s="56"/>
    </row>
    <row r="25" spans="2:13" s="3" customFormat="1" x14ac:dyDescent="0.25">
      <c r="B25" s="3" t="s">
        <v>3034</v>
      </c>
      <c r="C25" s="3" t="s">
        <v>3035</v>
      </c>
      <c r="E25" s="3">
        <v>1</v>
      </c>
      <c r="F25" s="3">
        <v>12550</v>
      </c>
      <c r="J25" s="3">
        <v>9250</v>
      </c>
      <c r="K25" s="56"/>
    </row>
    <row r="26" spans="2:13" s="3" customFormat="1" x14ac:dyDescent="0.25">
      <c r="K26" s="56"/>
    </row>
    <row r="27" spans="2:13" s="3" customFormat="1" x14ac:dyDescent="0.25">
      <c r="K27" s="56"/>
    </row>
    <row r="28" spans="2:13" s="3" customFormat="1" x14ac:dyDescent="0.25">
      <c r="K28" s="56"/>
    </row>
    <row r="29" spans="2:13" s="3" customFormat="1" x14ac:dyDescent="0.25">
      <c r="K29" s="56"/>
    </row>
    <row r="30" spans="2:13" x14ac:dyDescent="0.25">
      <c r="B30" s="3" t="s">
        <v>1913</v>
      </c>
      <c r="C30" s="3" t="s">
        <v>1971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71">
        <v>3220</v>
      </c>
      <c r="M30" s="3"/>
    </row>
    <row r="31" spans="2:13" x14ac:dyDescent="0.25">
      <c r="B31" s="3" t="s">
        <v>1914</v>
      </c>
      <c r="C31" s="3" t="s">
        <v>1973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56">
        <v>3130</v>
      </c>
      <c r="L31">
        <v>2900</v>
      </c>
      <c r="M31" s="3"/>
    </row>
    <row r="32" spans="2:13" x14ac:dyDescent="0.25">
      <c r="B32" s="3" t="s">
        <v>1915</v>
      </c>
      <c r="C32" s="3" t="s">
        <v>1972</v>
      </c>
      <c r="E32">
        <v>4</v>
      </c>
      <c r="F32" s="3" t="s">
        <v>3964</v>
      </c>
      <c r="G32" s="3">
        <v>1990</v>
      </c>
      <c r="H32" s="3">
        <f t="shared" si="0"/>
        <v>2547.1999999999998</v>
      </c>
      <c r="J32" s="3">
        <v>3100</v>
      </c>
      <c r="K32" s="56">
        <v>3150</v>
      </c>
      <c r="M32" s="3"/>
    </row>
    <row r="33" spans="2:13" s="3" customFormat="1" x14ac:dyDescent="0.25">
      <c r="B33" s="3" t="s">
        <v>2792</v>
      </c>
      <c r="C33" s="3" t="s">
        <v>2793</v>
      </c>
      <c r="E33" s="3">
        <v>4</v>
      </c>
      <c r="F33" s="3">
        <v>5180</v>
      </c>
      <c r="I33" s="3">
        <v>4775</v>
      </c>
      <c r="J33" s="3">
        <v>3700</v>
      </c>
      <c r="K33" s="56">
        <v>3900</v>
      </c>
      <c r="L33" s="3">
        <v>3240</v>
      </c>
    </row>
    <row r="34" spans="2:13" s="3" customFormat="1" x14ac:dyDescent="0.25">
      <c r="B34" s="3" t="s">
        <v>2794</v>
      </c>
      <c r="C34" s="3" t="s">
        <v>2811</v>
      </c>
      <c r="E34" s="3">
        <v>0</v>
      </c>
      <c r="F34" s="3">
        <v>4780</v>
      </c>
      <c r="J34" s="3">
        <v>3310</v>
      </c>
      <c r="K34" s="56">
        <v>3480</v>
      </c>
    </row>
    <row r="35" spans="2:13" s="3" customFormat="1" x14ac:dyDescent="0.25">
      <c r="B35" s="3" t="s">
        <v>2795</v>
      </c>
      <c r="C35" s="3" t="s">
        <v>2812</v>
      </c>
      <c r="E35" s="3">
        <v>2</v>
      </c>
      <c r="F35" s="3">
        <v>4780</v>
      </c>
      <c r="J35" s="3">
        <v>3310</v>
      </c>
      <c r="K35" s="56">
        <v>3480</v>
      </c>
    </row>
    <row r="36" spans="2:13" s="3" customFormat="1" x14ac:dyDescent="0.25">
      <c r="B36" s="3" t="s">
        <v>2809</v>
      </c>
      <c r="C36" s="3" t="s">
        <v>2813</v>
      </c>
      <c r="E36" s="3">
        <v>0</v>
      </c>
      <c r="F36" s="3">
        <v>4780</v>
      </c>
      <c r="J36" s="3">
        <v>3310</v>
      </c>
      <c r="K36" s="56">
        <v>3475</v>
      </c>
    </row>
    <row r="37" spans="2:13" s="3" customFormat="1" x14ac:dyDescent="0.25">
      <c r="B37" s="3" t="s">
        <v>2515</v>
      </c>
      <c r="C37" s="3" t="s">
        <v>2810</v>
      </c>
      <c r="E37" s="3">
        <v>1</v>
      </c>
      <c r="F37" s="3">
        <v>4222</v>
      </c>
      <c r="J37" s="3">
        <v>2980</v>
      </c>
      <c r="K37" s="56"/>
    </row>
    <row r="38" spans="2:13" s="3" customFormat="1" x14ac:dyDescent="0.25">
      <c r="B38" s="3" t="s">
        <v>2989</v>
      </c>
      <c r="C38" s="3" t="s">
        <v>3641</v>
      </c>
      <c r="E38" s="3">
        <v>1</v>
      </c>
      <c r="F38" s="3">
        <v>4580</v>
      </c>
      <c r="J38" s="3">
        <v>3100</v>
      </c>
      <c r="K38" s="56"/>
    </row>
    <row r="39" spans="2:13" s="3" customFormat="1" x14ac:dyDescent="0.25">
      <c r="B39" s="3" t="s">
        <v>3176</v>
      </c>
      <c r="C39" s="3" t="s">
        <v>1709</v>
      </c>
      <c r="E39" s="3">
        <v>0</v>
      </c>
      <c r="F39" s="3">
        <v>8670</v>
      </c>
      <c r="J39" s="3">
        <v>6195</v>
      </c>
      <c r="K39" s="56">
        <v>6505</v>
      </c>
    </row>
    <row r="40" spans="2:13" s="3" customFormat="1" x14ac:dyDescent="0.25">
      <c r="B40" s="3" t="s">
        <v>3177</v>
      </c>
      <c r="C40" s="3" t="s">
        <v>600</v>
      </c>
      <c r="E40" s="3">
        <v>3</v>
      </c>
      <c r="F40" s="3">
        <v>5180</v>
      </c>
      <c r="I40" s="3">
        <v>4775</v>
      </c>
      <c r="J40" s="3">
        <v>3580</v>
      </c>
      <c r="K40" s="56">
        <v>3500</v>
      </c>
    </row>
    <row r="41" spans="2:13" s="3" customFormat="1" x14ac:dyDescent="0.25">
      <c r="B41" s="3" t="s">
        <v>4001</v>
      </c>
      <c r="C41" s="3" t="s">
        <v>2990</v>
      </c>
      <c r="E41" s="3">
        <v>0</v>
      </c>
      <c r="F41" s="3">
        <v>4222</v>
      </c>
      <c r="J41" s="3">
        <v>3100</v>
      </c>
      <c r="K41" s="56"/>
      <c r="L41" s="3">
        <v>2975</v>
      </c>
    </row>
    <row r="42" spans="2:13" s="3" customFormat="1" x14ac:dyDescent="0.25">
      <c r="K42" s="56"/>
    </row>
    <row r="43" spans="2:13" x14ac:dyDescent="0.25">
      <c r="B43" s="3" t="s">
        <v>1916</v>
      </c>
      <c r="C43" s="3" t="s">
        <v>1917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56">
        <f>H43+H43*15/100</f>
        <v>596.16</v>
      </c>
      <c r="M43" s="3"/>
    </row>
    <row r="44" spans="2:13" x14ac:dyDescent="0.25">
      <c r="B44" s="3" t="s">
        <v>1918</v>
      </c>
      <c r="C44" s="3" t="s">
        <v>1917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56">
        <f>H44+H44*15/100</f>
        <v>596.16</v>
      </c>
      <c r="M44" s="3"/>
    </row>
    <row r="45" spans="2:13" x14ac:dyDescent="0.25">
      <c r="B45" s="3" t="s">
        <v>1919</v>
      </c>
      <c r="C45" s="3" t="s">
        <v>1983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56">
        <v>410</v>
      </c>
      <c r="M45" s="3"/>
    </row>
    <row r="46" spans="2:13" x14ac:dyDescent="0.25">
      <c r="B46" s="3" t="s">
        <v>1920</v>
      </c>
      <c r="C46" s="3" t="s">
        <v>1924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56">
        <f>H46+H46*15/100</f>
        <v>588.79999999999995</v>
      </c>
      <c r="M46" s="3"/>
    </row>
    <row r="47" spans="2:13" x14ac:dyDescent="0.25">
      <c r="B47" s="3" t="s">
        <v>1921</v>
      </c>
      <c r="C47" s="3" t="s">
        <v>1917</v>
      </c>
      <c r="E47">
        <v>9</v>
      </c>
      <c r="F47">
        <v>535</v>
      </c>
      <c r="G47" s="3">
        <v>175</v>
      </c>
      <c r="H47" s="3">
        <f t="shared" si="0"/>
        <v>224</v>
      </c>
      <c r="J47" s="3">
        <v>290</v>
      </c>
      <c r="K47" s="71">
        <v>305</v>
      </c>
      <c r="M47" s="3"/>
    </row>
    <row r="48" spans="2:13" x14ac:dyDescent="0.25">
      <c r="B48" s="3" t="s">
        <v>1922</v>
      </c>
      <c r="C48" s="3" t="s">
        <v>1917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56">
        <f>H48+H48*15/100</f>
        <v>485.76</v>
      </c>
      <c r="M48" s="3"/>
    </row>
    <row r="49" spans="2:13" x14ac:dyDescent="0.25">
      <c r="B49" s="3" t="s">
        <v>1923</v>
      </c>
      <c r="C49" s="3" t="s">
        <v>1925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56">
        <v>360</v>
      </c>
      <c r="M49" s="3"/>
    </row>
    <row r="50" spans="2:13" x14ac:dyDescent="0.25">
      <c r="B50" s="3" t="s">
        <v>1926</v>
      </c>
      <c r="C50" s="3" t="s">
        <v>1984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56">
        <f>H50+H50*15/100</f>
        <v>287.03999999999996</v>
      </c>
      <c r="M50" s="3"/>
    </row>
    <row r="51" spans="2:13" x14ac:dyDescent="0.25">
      <c r="B51" s="3" t="s">
        <v>1927</v>
      </c>
      <c r="C51" s="3" t="s">
        <v>1928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56">
        <f>H51+H51*15/100</f>
        <v>456.32</v>
      </c>
      <c r="M51" s="3"/>
    </row>
    <row r="52" spans="2:13" x14ac:dyDescent="0.25">
      <c r="B52" s="3" t="s">
        <v>1929</v>
      </c>
      <c r="C52" s="3" t="s">
        <v>239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56">
        <f>H52+H52*15/100</f>
        <v>434.24</v>
      </c>
      <c r="M52" s="3"/>
    </row>
    <row r="53" spans="2:13" x14ac:dyDescent="0.25">
      <c r="B53" s="3" t="s">
        <v>1930</v>
      </c>
      <c r="C53" s="3" t="s">
        <v>239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56">
        <f>H53+H53*15/100</f>
        <v>942.08</v>
      </c>
      <c r="M53" s="3"/>
    </row>
    <row r="54" spans="2:13" x14ac:dyDescent="0.25">
      <c r="B54" s="3" t="s">
        <v>1931</v>
      </c>
      <c r="C54" s="3" t="s">
        <v>1985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71">
        <v>495</v>
      </c>
      <c r="M54" s="3"/>
    </row>
    <row r="55" spans="2:13" x14ac:dyDescent="0.25">
      <c r="B55" s="3" t="s">
        <v>1932</v>
      </c>
      <c r="C55" s="3" t="s">
        <v>1933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71">
        <v>490</v>
      </c>
      <c r="M55" s="3"/>
    </row>
    <row r="56" spans="2:13" x14ac:dyDescent="0.25">
      <c r="B56" s="3" t="s">
        <v>1934</v>
      </c>
      <c r="C56" s="3" t="s">
        <v>239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56">
        <f>H56+H56*15/100</f>
        <v>426.88</v>
      </c>
      <c r="M56" s="3"/>
    </row>
    <row r="57" spans="2:13" x14ac:dyDescent="0.25">
      <c r="B57" s="3" t="s">
        <v>1935</v>
      </c>
      <c r="C57" s="3" t="s">
        <v>1986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2817</v>
      </c>
      <c r="K57" s="71" t="s">
        <v>2818</v>
      </c>
      <c r="M57" s="3"/>
    </row>
    <row r="58" spans="2:13" ht="18" customHeight="1" x14ac:dyDescent="0.25">
      <c r="B58" s="3" t="s">
        <v>1936</v>
      </c>
      <c r="C58" s="3" t="s">
        <v>1987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56">
        <f>H58+H58*15/100</f>
        <v>478.4</v>
      </c>
      <c r="M58" s="3"/>
    </row>
    <row r="59" spans="2:13" x14ac:dyDescent="0.25">
      <c r="B59" s="3" t="s">
        <v>1937</v>
      </c>
      <c r="C59" s="3" t="s">
        <v>1988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2431</v>
      </c>
      <c r="K59" s="71" t="s">
        <v>2432</v>
      </c>
      <c r="M59" s="3"/>
    </row>
    <row r="60" spans="2:13" x14ac:dyDescent="0.25">
      <c r="B60" s="3" t="s">
        <v>1938</v>
      </c>
      <c r="C60" s="3" t="s">
        <v>1989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71" t="s">
        <v>3031</v>
      </c>
      <c r="M60" s="3"/>
    </row>
    <row r="61" spans="2:13" x14ac:dyDescent="0.25">
      <c r="B61" s="3" t="s">
        <v>1939</v>
      </c>
      <c r="C61" s="3" t="s">
        <v>1990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56">
        <f>H61+H61*15/100</f>
        <v>345.92</v>
      </c>
      <c r="M61" s="3"/>
    </row>
    <row r="62" spans="2:13" x14ac:dyDescent="0.25">
      <c r="B62" s="3" t="s">
        <v>1940</v>
      </c>
      <c r="C62" s="3" t="s">
        <v>239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56">
        <v>410</v>
      </c>
      <c r="M62" s="3"/>
    </row>
    <row r="63" spans="2:13" x14ac:dyDescent="0.25">
      <c r="B63" s="3" t="s">
        <v>1941</v>
      </c>
      <c r="C63" s="3" t="s">
        <v>239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56">
        <f>H63+H63*15/100</f>
        <v>456.32</v>
      </c>
      <c r="M63" s="3"/>
    </row>
    <row r="64" spans="2:13" s="3" customFormat="1" x14ac:dyDescent="0.25">
      <c r="B64" s="3" t="s">
        <v>2236</v>
      </c>
      <c r="C64" s="3" t="s">
        <v>239</v>
      </c>
      <c r="E64" s="3">
        <v>5</v>
      </c>
      <c r="F64" s="3">
        <v>1330</v>
      </c>
      <c r="J64" s="3">
        <v>901</v>
      </c>
      <c r="K64" s="56">
        <v>945</v>
      </c>
    </row>
    <row r="65" spans="2:13" s="3" customFormat="1" x14ac:dyDescent="0.25">
      <c r="B65" s="3" t="s">
        <v>2237</v>
      </c>
      <c r="C65" s="3" t="s">
        <v>239</v>
      </c>
      <c r="E65" s="3">
        <v>4</v>
      </c>
      <c r="F65" s="3">
        <v>1285</v>
      </c>
      <c r="J65" s="3">
        <v>900</v>
      </c>
      <c r="K65" s="56">
        <v>945</v>
      </c>
    </row>
    <row r="66" spans="2:13" s="3" customFormat="1" x14ac:dyDescent="0.25">
      <c r="B66" s="3" t="s">
        <v>2238</v>
      </c>
      <c r="C66" s="3" t="s">
        <v>239</v>
      </c>
      <c r="E66" s="3">
        <v>2</v>
      </c>
      <c r="F66" s="3">
        <v>690</v>
      </c>
      <c r="J66" s="3" t="s">
        <v>2523</v>
      </c>
      <c r="K66" s="56">
        <v>385</v>
      </c>
    </row>
    <row r="67" spans="2:13" s="3" customFormat="1" x14ac:dyDescent="0.25">
      <c r="B67" s="3" t="s">
        <v>2239</v>
      </c>
      <c r="C67" s="3" t="s">
        <v>239</v>
      </c>
      <c r="E67" s="3">
        <v>16</v>
      </c>
      <c r="F67" s="3">
        <v>575</v>
      </c>
      <c r="J67" s="3">
        <v>350</v>
      </c>
      <c r="K67" s="56">
        <v>370</v>
      </c>
    </row>
    <row r="68" spans="2:13" s="3" customFormat="1" x14ac:dyDescent="0.25">
      <c r="B68" s="3" t="s">
        <v>2295</v>
      </c>
      <c r="C68" s="3" t="s">
        <v>239</v>
      </c>
      <c r="E68" s="3">
        <v>19</v>
      </c>
      <c r="F68" s="3">
        <v>860</v>
      </c>
      <c r="J68" s="3">
        <v>515</v>
      </c>
      <c r="K68" s="56">
        <v>540</v>
      </c>
    </row>
    <row r="69" spans="2:13" s="3" customFormat="1" x14ac:dyDescent="0.25">
      <c r="B69" s="3" t="s">
        <v>2296</v>
      </c>
      <c r="E69" s="3">
        <v>2</v>
      </c>
      <c r="F69" s="3">
        <v>640</v>
      </c>
      <c r="J69" s="3" t="s">
        <v>2852</v>
      </c>
      <c r="K69" s="71" t="s">
        <v>2853</v>
      </c>
    </row>
    <row r="70" spans="2:13" s="3" customFormat="1" x14ac:dyDescent="0.25">
      <c r="B70" s="3" t="s">
        <v>2651</v>
      </c>
      <c r="C70" s="3" t="s">
        <v>239</v>
      </c>
      <c r="E70" s="3">
        <v>5</v>
      </c>
      <c r="F70" s="3">
        <v>1005</v>
      </c>
      <c r="J70" s="3">
        <v>640</v>
      </c>
      <c r="K70" s="56">
        <v>675</v>
      </c>
    </row>
    <row r="71" spans="2:13" s="3" customFormat="1" x14ac:dyDescent="0.25">
      <c r="K71" s="56"/>
    </row>
    <row r="72" spans="2:13" s="3" customFormat="1" x14ac:dyDescent="0.25">
      <c r="K72" s="56"/>
    </row>
    <row r="73" spans="2:13" s="3" customFormat="1" x14ac:dyDescent="0.25">
      <c r="K73" s="56"/>
    </row>
    <row r="74" spans="2:13" x14ac:dyDescent="0.25">
      <c r="B74" s="3" t="s">
        <v>1942</v>
      </c>
      <c r="C74" s="3" t="s">
        <v>1943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56">
        <f>H74+H74*15/100</f>
        <v>721.28000000000009</v>
      </c>
      <c r="M74" s="3"/>
    </row>
    <row r="75" spans="2:13" x14ac:dyDescent="0.25">
      <c r="C75" s="3" t="s">
        <v>1944</v>
      </c>
      <c r="H75" s="3">
        <f t="shared" si="0"/>
        <v>0</v>
      </c>
      <c r="K75" s="56">
        <f>H75+H75*15/100</f>
        <v>0</v>
      </c>
      <c r="M75" s="3"/>
    </row>
    <row r="76" spans="2:13" x14ac:dyDescent="0.25">
      <c r="B76" s="3" t="s">
        <v>1945</v>
      </c>
      <c r="C76" s="3" t="s">
        <v>1943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56">
        <f>H76+H76*15/100</f>
        <v>794.88000000000011</v>
      </c>
      <c r="M76" s="3"/>
    </row>
    <row r="77" spans="2:13" x14ac:dyDescent="0.25">
      <c r="C77" s="3" t="s">
        <v>1946</v>
      </c>
      <c r="H77" s="3">
        <f t="shared" si="0"/>
        <v>0</v>
      </c>
      <c r="K77" s="56">
        <f>H77+H77*15/100</f>
        <v>0</v>
      </c>
      <c r="M77" s="3"/>
    </row>
    <row r="78" spans="2:13" x14ac:dyDescent="0.25">
      <c r="B78" s="3" t="s">
        <v>1947</v>
      </c>
      <c r="C78" s="3" t="s">
        <v>1994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71">
        <v>900</v>
      </c>
      <c r="L78" s="71">
        <v>850</v>
      </c>
      <c r="M78" s="3"/>
    </row>
    <row r="79" spans="2:13" x14ac:dyDescent="0.25">
      <c r="B79" s="3" t="s">
        <v>1949</v>
      </c>
      <c r="C79" s="3" t="s">
        <v>1992</v>
      </c>
      <c r="D79" s="3" t="s">
        <v>1991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71">
        <v>900</v>
      </c>
      <c r="L79" s="71">
        <v>850</v>
      </c>
      <c r="M79" s="3"/>
    </row>
    <row r="80" spans="2:13" x14ac:dyDescent="0.25">
      <c r="B80" s="3" t="s">
        <v>1950</v>
      </c>
      <c r="C80" s="3" t="s">
        <v>1993</v>
      </c>
      <c r="D80" s="3">
        <v>26964038</v>
      </c>
      <c r="E80">
        <v>21</v>
      </c>
      <c r="F80">
        <v>1400</v>
      </c>
      <c r="G80" s="3">
        <v>585</v>
      </c>
      <c r="H80" s="3">
        <f t="shared" si="0"/>
        <v>748.8</v>
      </c>
      <c r="J80" s="3" t="s">
        <v>4187</v>
      </c>
      <c r="K80" s="56">
        <v>975</v>
      </c>
      <c r="M80" s="3"/>
    </row>
    <row r="81" spans="2:13" x14ac:dyDescent="0.25">
      <c r="B81" s="3" t="s">
        <v>1951</v>
      </c>
      <c r="C81" s="3" t="s">
        <v>1995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56">
        <v>910</v>
      </c>
      <c r="L81">
        <v>850</v>
      </c>
      <c r="M81" s="3"/>
    </row>
    <row r="82" spans="2:13" x14ac:dyDescent="0.25">
      <c r="B82" s="3" t="s">
        <v>1952</v>
      </c>
      <c r="C82" s="3" t="s">
        <v>1996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4524</v>
      </c>
      <c r="K82" s="71">
        <v>810</v>
      </c>
      <c r="M82" s="3"/>
    </row>
    <row r="83" spans="2:13" x14ac:dyDescent="0.25">
      <c r="B83" s="3" t="s">
        <v>1953</v>
      </c>
      <c r="C83" s="3" t="s">
        <v>1997</v>
      </c>
      <c r="E83" s="3" t="s">
        <v>3230</v>
      </c>
      <c r="F83">
        <v>1315</v>
      </c>
      <c r="G83" s="3">
        <v>555</v>
      </c>
      <c r="H83" s="3">
        <f t="shared" si="0"/>
        <v>710.4</v>
      </c>
      <c r="J83">
        <v>850</v>
      </c>
      <c r="K83" s="56">
        <v>895</v>
      </c>
      <c r="M83" s="3"/>
    </row>
    <row r="84" spans="2:13" s="3" customFormat="1" x14ac:dyDescent="0.25">
      <c r="B84" s="3" t="s">
        <v>1958</v>
      </c>
      <c r="C84" s="3" t="s">
        <v>1998</v>
      </c>
      <c r="D84" s="3" t="s">
        <v>1999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56">
        <v>860</v>
      </c>
      <c r="L84" s="3">
        <v>790</v>
      </c>
    </row>
    <row r="85" spans="2:13" s="3" customFormat="1" x14ac:dyDescent="0.25">
      <c r="B85" s="3" t="s">
        <v>1959</v>
      </c>
      <c r="C85" s="3" t="s">
        <v>2000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56">
        <v>870</v>
      </c>
    </row>
    <row r="86" spans="2:13" s="3" customFormat="1" x14ac:dyDescent="0.25">
      <c r="B86" s="3" t="s">
        <v>1960</v>
      </c>
      <c r="C86" s="3" t="s">
        <v>2177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56">
        <v>925</v>
      </c>
    </row>
    <row r="87" spans="2:13" s="3" customFormat="1" x14ac:dyDescent="0.25">
      <c r="B87" s="3" t="s">
        <v>2069</v>
      </c>
      <c r="C87" s="3" t="s">
        <v>1948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56"/>
    </row>
    <row r="88" spans="2:13" s="3" customFormat="1" x14ac:dyDescent="0.25">
      <c r="B88" s="3" t="s">
        <v>2070</v>
      </c>
      <c r="C88" s="3" t="s">
        <v>2178</v>
      </c>
      <c r="E88" s="3">
        <v>1</v>
      </c>
      <c r="F88" s="3">
        <v>1240</v>
      </c>
      <c r="J88" s="3">
        <v>830</v>
      </c>
      <c r="K88" s="56">
        <v>850</v>
      </c>
    </row>
    <row r="89" spans="2:13" s="3" customFormat="1" x14ac:dyDescent="0.25">
      <c r="B89" s="3" t="s">
        <v>2245</v>
      </c>
      <c r="C89" s="3" t="s">
        <v>3967</v>
      </c>
      <c r="E89" s="3">
        <v>0</v>
      </c>
      <c r="F89" s="3">
        <v>1220</v>
      </c>
      <c r="J89" s="3">
        <v>760</v>
      </c>
      <c r="K89" s="56">
        <v>800</v>
      </c>
    </row>
    <row r="90" spans="2:13" s="3" customFormat="1" x14ac:dyDescent="0.25">
      <c r="B90" s="3" t="s">
        <v>2276</v>
      </c>
      <c r="C90" s="3" t="s">
        <v>2304</v>
      </c>
      <c r="E90" s="3">
        <v>3</v>
      </c>
      <c r="F90" s="3">
        <v>990</v>
      </c>
      <c r="J90" s="3">
        <v>760</v>
      </c>
      <c r="K90" s="56">
        <v>800</v>
      </c>
    </row>
    <row r="91" spans="2:13" s="3" customFormat="1" x14ac:dyDescent="0.25">
      <c r="B91" s="3" t="s">
        <v>2294</v>
      </c>
      <c r="C91" s="3" t="s">
        <v>2303</v>
      </c>
      <c r="E91" s="3">
        <v>4</v>
      </c>
      <c r="F91" s="3">
        <v>1620</v>
      </c>
      <c r="J91" s="3">
        <v>1180</v>
      </c>
      <c r="K91" s="71"/>
    </row>
    <row r="92" spans="2:13" s="3" customFormat="1" x14ac:dyDescent="0.25">
      <c r="B92" s="3" t="s">
        <v>3129</v>
      </c>
      <c r="E92" s="3">
        <v>19</v>
      </c>
      <c r="F92" s="3">
        <v>1300</v>
      </c>
      <c r="J92" s="3" t="s">
        <v>4185</v>
      </c>
      <c r="K92" s="56">
        <v>870</v>
      </c>
    </row>
    <row r="93" spans="2:13" s="3" customFormat="1" x14ac:dyDescent="0.25">
      <c r="B93" s="3" t="s">
        <v>3157</v>
      </c>
      <c r="C93" s="3" t="s">
        <v>3158</v>
      </c>
      <c r="E93" s="3">
        <v>0</v>
      </c>
      <c r="F93" s="3">
        <v>460</v>
      </c>
      <c r="J93" s="3">
        <v>280</v>
      </c>
      <c r="K93" s="56">
        <v>295</v>
      </c>
    </row>
    <row r="94" spans="2:13" s="3" customFormat="1" x14ac:dyDescent="0.25">
      <c r="B94" s="3" t="s">
        <v>3571</v>
      </c>
      <c r="C94" s="3" t="s">
        <v>3831</v>
      </c>
      <c r="E94" s="3">
        <v>5</v>
      </c>
      <c r="F94" s="3">
        <v>1030</v>
      </c>
      <c r="J94" s="3">
        <v>660</v>
      </c>
      <c r="K94" s="56">
        <v>690</v>
      </c>
    </row>
    <row r="95" spans="2:13" s="3" customFormat="1" x14ac:dyDescent="0.25">
      <c r="B95" s="3" t="s">
        <v>4186</v>
      </c>
      <c r="C95" s="3" t="s">
        <v>1992</v>
      </c>
      <c r="D95" s="3" t="s">
        <v>1991</v>
      </c>
      <c r="E95" s="3">
        <v>2</v>
      </c>
      <c r="F95" s="3">
        <v>1330</v>
      </c>
      <c r="J95" s="3">
        <v>740</v>
      </c>
      <c r="K95" s="56"/>
    </row>
    <row r="96" spans="2:13" s="3" customFormat="1" x14ac:dyDescent="0.25">
      <c r="K96" s="56"/>
    </row>
    <row r="97" spans="2:13" x14ac:dyDescent="0.25">
      <c r="B97" s="3" t="s">
        <v>1954</v>
      </c>
      <c r="C97" s="3" t="s">
        <v>2002</v>
      </c>
      <c r="D97" s="3" t="s">
        <v>2001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56">
        <f>H97+H97*15/100</f>
        <v>772.8</v>
      </c>
      <c r="M97" s="3"/>
    </row>
    <row r="98" spans="2:13" x14ac:dyDescent="0.25">
      <c r="B98" s="3" t="s">
        <v>1955</v>
      </c>
      <c r="C98" s="3" t="s">
        <v>2003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56">
        <v>770</v>
      </c>
      <c r="M98" s="3"/>
    </row>
    <row r="99" spans="2:13" x14ac:dyDescent="0.25">
      <c r="B99" s="3" t="s">
        <v>1956</v>
      </c>
      <c r="C99" s="3" t="s">
        <v>2004</v>
      </c>
      <c r="D99" s="3" t="s">
        <v>2005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56">
        <v>1013</v>
      </c>
      <c r="M99" s="3"/>
    </row>
    <row r="100" spans="2:13" x14ac:dyDescent="0.25">
      <c r="B100" s="3" t="s">
        <v>1957</v>
      </c>
      <c r="C100" s="3" t="s">
        <v>2480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56">
        <f>H100+H100*15/100</f>
        <v>647.68000000000006</v>
      </c>
      <c r="M100" s="3"/>
    </row>
    <row r="101" spans="2:13" x14ac:dyDescent="0.25">
      <c r="B101" s="3" t="s">
        <v>1961</v>
      </c>
      <c r="C101" s="3" t="s">
        <v>2006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56">
        <f>H101+H101*15/100</f>
        <v>743.36</v>
      </c>
      <c r="M101" s="3"/>
    </row>
    <row r="102" spans="2:13" x14ac:dyDescent="0.25">
      <c r="B102" s="3" t="s">
        <v>1962</v>
      </c>
      <c r="C102" s="3" t="s">
        <v>2007</v>
      </c>
      <c r="D102" s="3">
        <v>26245216</v>
      </c>
      <c r="E102">
        <v>4</v>
      </c>
      <c r="F102" s="3" t="s">
        <v>2815</v>
      </c>
      <c r="G102" s="3">
        <v>690</v>
      </c>
      <c r="H102" s="3">
        <f t="shared" si="0"/>
        <v>883.2</v>
      </c>
      <c r="J102" s="3" t="s">
        <v>4421</v>
      </c>
      <c r="K102" s="71" t="s">
        <v>2816</v>
      </c>
      <c r="M102" s="3"/>
    </row>
    <row r="103" spans="2:13" x14ac:dyDescent="0.25">
      <c r="B103" s="3" t="s">
        <v>1963</v>
      </c>
      <c r="C103" s="3" t="s">
        <v>2008</v>
      </c>
      <c r="D103" s="3" t="s">
        <v>2009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3032</v>
      </c>
      <c r="K103" s="71" t="s">
        <v>3033</v>
      </c>
      <c r="M103" s="3"/>
    </row>
    <row r="104" spans="2:13" x14ac:dyDescent="0.25">
      <c r="B104" s="3" t="s">
        <v>1964</v>
      </c>
      <c r="C104" s="3" t="s">
        <v>2010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56">
        <v>920</v>
      </c>
      <c r="M104" s="3"/>
    </row>
    <row r="105" spans="2:13" s="3" customFormat="1" x14ac:dyDescent="0.25">
      <c r="B105" s="3" t="s">
        <v>2064</v>
      </c>
      <c r="C105" s="3" t="s">
        <v>2065</v>
      </c>
      <c r="E105" s="3">
        <v>0</v>
      </c>
      <c r="F105" s="3">
        <v>3535</v>
      </c>
      <c r="J105" s="3">
        <v>2688</v>
      </c>
      <c r="K105" s="56">
        <v>2822</v>
      </c>
    </row>
    <row r="106" spans="2:13" s="3" customFormat="1" x14ac:dyDescent="0.25">
      <c r="B106" s="3" t="s">
        <v>2240</v>
      </c>
      <c r="C106" s="3" t="s">
        <v>2241</v>
      </c>
      <c r="E106" s="3">
        <v>18</v>
      </c>
      <c r="F106" s="3" t="s">
        <v>3217</v>
      </c>
      <c r="J106" s="3">
        <v>1430</v>
      </c>
      <c r="K106" s="56">
        <v>1500</v>
      </c>
    </row>
    <row r="107" spans="2:13" s="3" customFormat="1" x14ac:dyDescent="0.25">
      <c r="B107" s="3" t="s">
        <v>2522</v>
      </c>
      <c r="C107" s="3" t="s">
        <v>2721</v>
      </c>
      <c r="E107" s="3">
        <v>25</v>
      </c>
      <c r="F107" s="3">
        <v>1475</v>
      </c>
      <c r="J107" s="3">
        <v>697</v>
      </c>
      <c r="K107" s="56">
        <v>732</v>
      </c>
    </row>
    <row r="108" spans="2:13" s="3" customFormat="1" x14ac:dyDescent="0.25">
      <c r="B108" s="3" t="s">
        <v>2524</v>
      </c>
      <c r="C108" s="3" t="s">
        <v>2722</v>
      </c>
      <c r="E108" s="3">
        <v>0</v>
      </c>
      <c r="F108" s="3">
        <v>1560</v>
      </c>
      <c r="J108" s="3">
        <v>1186</v>
      </c>
      <c r="K108" s="56">
        <v>1245</v>
      </c>
    </row>
    <row r="109" spans="2:13" s="3" customFormat="1" x14ac:dyDescent="0.25">
      <c r="K109" s="56"/>
    </row>
    <row r="110" spans="2:13" s="3" customFormat="1" x14ac:dyDescent="0.25">
      <c r="B110" s="3" t="s">
        <v>2066</v>
      </c>
      <c r="C110" s="3" t="s">
        <v>3380</v>
      </c>
      <c r="E110" s="3">
        <v>23</v>
      </c>
      <c r="F110" s="3">
        <v>260</v>
      </c>
      <c r="J110" s="3">
        <v>180</v>
      </c>
      <c r="K110" s="56">
        <v>184</v>
      </c>
      <c r="L110" s="3">
        <v>175</v>
      </c>
    </row>
    <row r="111" spans="2:13" s="3" customFormat="1" x14ac:dyDescent="0.25">
      <c r="B111" s="3" t="s">
        <v>2244</v>
      </c>
      <c r="C111" s="3" t="s">
        <v>337</v>
      </c>
      <c r="E111" s="3">
        <v>11</v>
      </c>
      <c r="F111" s="3">
        <v>572</v>
      </c>
      <c r="J111" s="3">
        <v>430</v>
      </c>
      <c r="K111" s="56">
        <v>450</v>
      </c>
      <c r="L111" s="3">
        <v>415</v>
      </c>
    </row>
    <row r="112" spans="2:13" s="3" customFormat="1" x14ac:dyDescent="0.25">
      <c r="B112" s="3" t="s">
        <v>2429</v>
      </c>
      <c r="C112" s="3" t="s">
        <v>337</v>
      </c>
      <c r="E112" s="3">
        <v>38</v>
      </c>
      <c r="F112" s="3">
        <v>270</v>
      </c>
      <c r="J112" s="3">
        <v>150</v>
      </c>
      <c r="K112" s="56">
        <v>160</v>
      </c>
    </row>
    <row r="113" spans="2:13" s="3" customFormat="1" x14ac:dyDescent="0.25">
      <c r="B113" s="3">
        <v>1560</v>
      </c>
      <c r="C113" s="3" t="s">
        <v>3143</v>
      </c>
      <c r="E113" s="3">
        <v>10</v>
      </c>
      <c r="F113" s="3">
        <v>865</v>
      </c>
      <c r="J113" s="3">
        <v>630</v>
      </c>
      <c r="K113" s="56">
        <v>660</v>
      </c>
      <c r="L113" s="3">
        <v>570</v>
      </c>
    </row>
    <row r="114" spans="2:13" s="3" customFormat="1" x14ac:dyDescent="0.25">
      <c r="K114" s="56"/>
    </row>
    <row r="115" spans="2:13" s="3" customFormat="1" x14ac:dyDescent="0.25">
      <c r="K115" s="56"/>
    </row>
    <row r="116" spans="2:13" x14ac:dyDescent="0.25">
      <c r="M116" s="3"/>
    </row>
    <row r="117" spans="2:13" x14ac:dyDescent="0.25">
      <c r="B117" s="3" t="s">
        <v>1965</v>
      </c>
      <c r="C117" s="3" t="s">
        <v>1968</v>
      </c>
      <c r="E117">
        <v>4</v>
      </c>
      <c r="F117" s="3">
        <v>389</v>
      </c>
      <c r="J117" s="3" t="s">
        <v>4184</v>
      </c>
      <c r="K117" s="71"/>
      <c r="M117" s="3"/>
    </row>
    <row r="118" spans="2:13" x14ac:dyDescent="0.25">
      <c r="B118" s="3" t="s">
        <v>1966</v>
      </c>
      <c r="C118" s="3" t="s">
        <v>1969</v>
      </c>
      <c r="E118">
        <v>25</v>
      </c>
      <c r="F118" s="3">
        <v>514</v>
      </c>
      <c r="J118" s="3">
        <v>375</v>
      </c>
      <c r="K118" s="71">
        <v>395</v>
      </c>
      <c r="M118" s="3"/>
    </row>
    <row r="119" spans="2:13" x14ac:dyDescent="0.25">
      <c r="B119" s="3" t="s">
        <v>1967</v>
      </c>
      <c r="C119" s="3" t="s">
        <v>1970</v>
      </c>
      <c r="E119">
        <v>26</v>
      </c>
      <c r="F119" s="3">
        <v>792</v>
      </c>
      <c r="J119" s="3">
        <v>500</v>
      </c>
      <c r="K119" s="71">
        <v>520</v>
      </c>
      <c r="M119" s="3"/>
    </row>
    <row r="120" spans="2:13" s="3" customFormat="1" x14ac:dyDescent="0.25">
      <c r="B120" s="3" t="s">
        <v>4546</v>
      </c>
      <c r="C120" s="3" t="s">
        <v>4547</v>
      </c>
      <c r="E120" s="3">
        <v>0</v>
      </c>
      <c r="F120" s="3">
        <v>543</v>
      </c>
      <c r="J120" s="3">
        <v>350</v>
      </c>
      <c r="K120" s="71"/>
    </row>
    <row r="121" spans="2:13" s="3" customFormat="1" x14ac:dyDescent="0.25">
      <c r="K121" s="71"/>
    </row>
    <row r="122" spans="2:13" x14ac:dyDescent="0.25">
      <c r="M122" s="3"/>
    </row>
    <row r="123" spans="2:13" x14ac:dyDescent="0.25">
      <c r="M123" s="3"/>
    </row>
    <row r="124" spans="2:13" x14ac:dyDescent="0.25">
      <c r="B124" s="3" t="s">
        <v>2062</v>
      </c>
      <c r="C124" s="3" t="s">
        <v>3008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2:13" x14ac:dyDescent="0.25">
      <c r="B125" s="3" t="s">
        <v>2063</v>
      </c>
      <c r="C125" s="3" t="s">
        <v>555</v>
      </c>
      <c r="E125">
        <v>30</v>
      </c>
      <c r="F125">
        <v>63</v>
      </c>
      <c r="J125">
        <v>44</v>
      </c>
      <c r="M125" s="3"/>
    </row>
    <row r="126" spans="2:13" x14ac:dyDescent="0.25">
      <c r="B126" s="3" t="s">
        <v>2067</v>
      </c>
      <c r="C126" s="3" t="s">
        <v>2068</v>
      </c>
      <c r="E126">
        <v>179</v>
      </c>
      <c r="F126">
        <v>15</v>
      </c>
      <c r="J126">
        <v>8.6</v>
      </c>
      <c r="K126" s="3">
        <v>9</v>
      </c>
      <c r="M126" s="3"/>
    </row>
    <row r="127" spans="2:13" x14ac:dyDescent="0.25">
      <c r="B127" s="3" t="s">
        <v>4548</v>
      </c>
      <c r="C127" s="3" t="s">
        <v>2074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2:13" x14ac:dyDescent="0.25">
      <c r="B128" s="3" t="s">
        <v>2242</v>
      </c>
      <c r="C128" s="3" t="s">
        <v>2243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2:13" x14ac:dyDescent="0.25">
      <c r="B129" s="3" t="s">
        <v>2274</v>
      </c>
      <c r="C129" s="3" t="s">
        <v>2275</v>
      </c>
      <c r="E129">
        <v>31</v>
      </c>
      <c r="F129">
        <v>32</v>
      </c>
      <c r="J129">
        <v>22</v>
      </c>
      <c r="K129" s="3">
        <v>23</v>
      </c>
      <c r="M129" s="3"/>
    </row>
    <row r="130" spans="2:13" x14ac:dyDescent="0.25">
      <c r="B130" s="3" t="s">
        <v>2292</v>
      </c>
      <c r="C130" s="3" t="s">
        <v>3007</v>
      </c>
      <c r="E130">
        <v>18</v>
      </c>
      <c r="F130">
        <v>40</v>
      </c>
      <c r="J130">
        <v>30</v>
      </c>
      <c r="K130" s="3">
        <v>32</v>
      </c>
      <c r="M130" s="3"/>
    </row>
    <row r="131" spans="2:13" x14ac:dyDescent="0.25">
      <c r="B131" s="3" t="s">
        <v>2293</v>
      </c>
      <c r="C131" s="3" t="s">
        <v>2275</v>
      </c>
      <c r="E131">
        <v>0</v>
      </c>
      <c r="F131">
        <v>35</v>
      </c>
      <c r="J131">
        <v>26</v>
      </c>
      <c r="K131" s="3">
        <v>23</v>
      </c>
      <c r="M131" s="3"/>
    </row>
    <row r="132" spans="2:13" s="3" customFormat="1" x14ac:dyDescent="0.25">
      <c r="B132" s="3" t="s">
        <v>3036</v>
      </c>
      <c r="C132" s="3" t="s">
        <v>3037</v>
      </c>
      <c r="E132" s="3">
        <v>5</v>
      </c>
      <c r="F132" s="3">
        <v>72</v>
      </c>
      <c r="J132" s="3">
        <v>55</v>
      </c>
      <c r="K132" s="3">
        <v>58</v>
      </c>
    </row>
    <row r="133" spans="2:13" s="3" customFormat="1" x14ac:dyDescent="0.25">
      <c r="B133" s="3" t="s">
        <v>3038</v>
      </c>
      <c r="C133" s="3" t="s">
        <v>3039</v>
      </c>
      <c r="E133" s="3">
        <v>0</v>
      </c>
      <c r="F133" s="3">
        <v>72</v>
      </c>
      <c r="J133" s="3">
        <v>55</v>
      </c>
      <c r="K133" s="3">
        <v>58</v>
      </c>
    </row>
    <row r="134" spans="2:13" s="3" customFormat="1" x14ac:dyDescent="0.25">
      <c r="B134" s="3" t="s">
        <v>3040</v>
      </c>
      <c r="C134" s="3" t="s">
        <v>3041</v>
      </c>
      <c r="E134" s="3">
        <v>0</v>
      </c>
      <c r="F134" s="3">
        <v>32</v>
      </c>
      <c r="J134" s="3">
        <v>24</v>
      </c>
      <c r="K134" s="3">
        <v>25</v>
      </c>
    </row>
    <row r="135" spans="2:13" s="3" customFormat="1" x14ac:dyDescent="0.25">
      <c r="B135" s="3" t="s">
        <v>3376</v>
      </c>
      <c r="E135" s="3">
        <v>0</v>
      </c>
      <c r="F135" s="3">
        <v>370</v>
      </c>
      <c r="J135" s="3">
        <v>224</v>
      </c>
    </row>
    <row r="136" spans="2:13" s="3" customFormat="1" x14ac:dyDescent="0.25">
      <c r="B136" s="3" t="s">
        <v>3042</v>
      </c>
      <c r="C136" s="3" t="s">
        <v>3044</v>
      </c>
      <c r="E136" s="3">
        <v>3</v>
      </c>
      <c r="F136" s="3">
        <v>850</v>
      </c>
      <c r="J136" s="3">
        <v>720</v>
      </c>
      <c r="K136" s="3">
        <v>760</v>
      </c>
    </row>
    <row r="137" spans="2:13" x14ac:dyDescent="0.25">
      <c r="B137" s="3" t="s">
        <v>3043</v>
      </c>
      <c r="C137" s="3" t="s">
        <v>3044</v>
      </c>
      <c r="E137">
        <v>1</v>
      </c>
      <c r="F137">
        <v>950</v>
      </c>
      <c r="J137">
        <v>720</v>
      </c>
      <c r="K137" s="3">
        <v>760</v>
      </c>
      <c r="M137" s="3"/>
    </row>
    <row r="138" spans="2:13" x14ac:dyDescent="0.25">
      <c r="M138" s="3"/>
    </row>
    <row r="139" spans="2:13" x14ac:dyDescent="0.25">
      <c r="B139" s="3" t="s">
        <v>2425</v>
      </c>
      <c r="C139" s="3" t="s">
        <v>2426</v>
      </c>
      <c r="E139">
        <v>5</v>
      </c>
      <c r="F139">
        <v>1226</v>
      </c>
      <c r="J139" s="3">
        <v>739</v>
      </c>
      <c r="K139" s="71">
        <v>773</v>
      </c>
      <c r="L139">
        <v>730</v>
      </c>
      <c r="M139" s="3"/>
    </row>
    <row r="140" spans="2:13" x14ac:dyDescent="0.25">
      <c r="B140" s="3" t="s">
        <v>2427</v>
      </c>
      <c r="C140" s="3" t="s">
        <v>2428</v>
      </c>
      <c r="E140">
        <v>6</v>
      </c>
      <c r="F140">
        <v>1365</v>
      </c>
      <c r="J140" s="3">
        <v>850</v>
      </c>
      <c r="K140" s="71">
        <v>890</v>
      </c>
      <c r="M140" s="3">
        <f>J140*E140</f>
        <v>5100</v>
      </c>
    </row>
    <row r="141" spans="2:13" x14ac:dyDescent="0.25">
      <c r="B141" s="3" t="s">
        <v>2516</v>
      </c>
      <c r="C141" s="3" t="s">
        <v>2517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2:13" x14ac:dyDescent="0.25">
      <c r="B142" s="3" t="s">
        <v>2518</v>
      </c>
      <c r="C142" s="3" t="s">
        <v>2519</v>
      </c>
      <c r="E142">
        <v>6</v>
      </c>
      <c r="F142">
        <v>1160</v>
      </c>
      <c r="J142">
        <v>680</v>
      </c>
      <c r="K142" s="3">
        <v>715</v>
      </c>
    </row>
    <row r="143" spans="2:13" x14ac:dyDescent="0.25">
      <c r="B143" s="3" t="s">
        <v>2520</v>
      </c>
      <c r="C143" s="3" t="s">
        <v>2521</v>
      </c>
      <c r="E143">
        <v>13</v>
      </c>
      <c r="F143" s="3" t="s">
        <v>3963</v>
      </c>
      <c r="J143">
        <v>650</v>
      </c>
      <c r="K143" s="3">
        <v>680</v>
      </c>
    </row>
    <row r="144" spans="2:13" x14ac:dyDescent="0.25">
      <c r="B144" s="3" t="s">
        <v>2796</v>
      </c>
      <c r="C144" s="3" t="s">
        <v>2797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2:11" x14ac:dyDescent="0.25">
      <c r="B145">
        <v>955007</v>
      </c>
      <c r="C145" s="3" t="s">
        <v>3668</v>
      </c>
      <c r="E145">
        <v>2</v>
      </c>
      <c r="F145">
        <v>2820</v>
      </c>
      <c r="J145">
        <v>1675</v>
      </c>
      <c r="K145" s="3">
        <v>1751</v>
      </c>
    </row>
    <row r="146" spans="2:11" x14ac:dyDescent="0.25">
      <c r="B146">
        <v>3805</v>
      </c>
      <c r="C146" s="3" t="s">
        <v>4636</v>
      </c>
      <c r="E146">
        <v>2</v>
      </c>
      <c r="F146">
        <v>1139</v>
      </c>
    </row>
    <row r="148" spans="2:11" x14ac:dyDescent="0.25">
      <c r="B148" s="3" t="s">
        <v>3045</v>
      </c>
      <c r="C148" s="3" t="s">
        <v>3064</v>
      </c>
      <c r="E148">
        <v>1</v>
      </c>
      <c r="F148">
        <v>80</v>
      </c>
      <c r="J148">
        <v>61</v>
      </c>
      <c r="K148" s="3">
        <v>64</v>
      </c>
    </row>
    <row r="149" spans="2:11" x14ac:dyDescent="0.25">
      <c r="B149" s="3" t="s">
        <v>3046</v>
      </c>
      <c r="C149" s="3" t="s">
        <v>3047</v>
      </c>
      <c r="E149">
        <v>1</v>
      </c>
      <c r="F149">
        <v>1150</v>
      </c>
      <c r="J149">
        <v>820</v>
      </c>
      <c r="K149" s="3">
        <v>860</v>
      </c>
    </row>
    <row r="150" spans="2:11" x14ac:dyDescent="0.25">
      <c r="B150" s="3" t="s">
        <v>3048</v>
      </c>
      <c r="C150" s="3" t="s">
        <v>242</v>
      </c>
      <c r="E150">
        <v>3</v>
      </c>
      <c r="F150">
        <v>1390</v>
      </c>
      <c r="J150">
        <v>880</v>
      </c>
      <c r="K150" s="3">
        <v>925</v>
      </c>
    </row>
    <row r="151" spans="2:11" x14ac:dyDescent="0.25">
      <c r="B151" s="3" t="s">
        <v>3049</v>
      </c>
      <c r="C151" s="3" t="s">
        <v>3050</v>
      </c>
      <c r="E151">
        <v>8</v>
      </c>
      <c r="F151">
        <v>250</v>
      </c>
      <c r="J151">
        <v>100</v>
      </c>
      <c r="K151" s="3">
        <v>105</v>
      </c>
    </row>
    <row r="152" spans="2:11" x14ac:dyDescent="0.25">
      <c r="B152" s="3" t="s">
        <v>3051</v>
      </c>
      <c r="C152" s="3" t="s">
        <v>3052</v>
      </c>
      <c r="E152">
        <v>10</v>
      </c>
      <c r="F152">
        <v>130</v>
      </c>
      <c r="J152">
        <v>80</v>
      </c>
      <c r="K152" s="3">
        <v>0</v>
      </c>
    </row>
    <row r="153" spans="2:11" x14ac:dyDescent="0.25">
      <c r="B153" s="3" t="s">
        <v>3053</v>
      </c>
      <c r="C153" s="3" t="s">
        <v>3054</v>
      </c>
      <c r="E153">
        <v>10</v>
      </c>
      <c r="F153">
        <v>65</v>
      </c>
      <c r="J153" s="3">
        <v>37</v>
      </c>
      <c r="K153" s="3">
        <v>37</v>
      </c>
    </row>
    <row r="154" spans="2:11" x14ac:dyDescent="0.25">
      <c r="B154" s="3" t="s">
        <v>3055</v>
      </c>
      <c r="C154" s="3" t="s">
        <v>3056</v>
      </c>
      <c r="E154">
        <v>68</v>
      </c>
      <c r="F154">
        <v>70</v>
      </c>
      <c r="J154">
        <v>42</v>
      </c>
      <c r="K154" s="3">
        <v>44</v>
      </c>
    </row>
    <row r="155" spans="2:11" x14ac:dyDescent="0.25">
      <c r="B155" s="3" t="s">
        <v>3617</v>
      </c>
      <c r="C155" s="3" t="s">
        <v>344</v>
      </c>
      <c r="E155">
        <v>1</v>
      </c>
      <c r="F155">
        <v>550</v>
      </c>
      <c r="J155">
        <v>404</v>
      </c>
    </row>
    <row r="156" spans="2:11" x14ac:dyDescent="0.25">
      <c r="B156" s="3" t="s">
        <v>3660</v>
      </c>
      <c r="C156" s="3" t="s">
        <v>3661</v>
      </c>
      <c r="E156">
        <v>0</v>
      </c>
    </row>
    <row r="157" spans="2:11" x14ac:dyDescent="0.25">
      <c r="B157" s="3" t="s">
        <v>3662</v>
      </c>
      <c r="C157" s="3" t="s">
        <v>518</v>
      </c>
      <c r="E157">
        <v>0</v>
      </c>
    </row>
    <row r="158" spans="2:11" x14ac:dyDescent="0.25">
      <c r="B158" s="3" t="s">
        <v>3973</v>
      </c>
      <c r="C158" s="3" t="s">
        <v>3974</v>
      </c>
      <c r="E158">
        <v>2</v>
      </c>
      <c r="F158">
        <v>965</v>
      </c>
      <c r="J158">
        <v>734</v>
      </c>
    </row>
    <row r="159" spans="2:11" x14ac:dyDescent="0.25">
      <c r="B159" s="3" t="s">
        <v>3975</v>
      </c>
      <c r="C159" s="3" t="s">
        <v>401</v>
      </c>
      <c r="E159">
        <v>1</v>
      </c>
      <c r="F159">
        <v>760</v>
      </c>
      <c r="J159">
        <v>520</v>
      </c>
    </row>
    <row r="160" spans="2:11" x14ac:dyDescent="0.25">
      <c r="B160" s="3" t="s">
        <v>3976</v>
      </c>
      <c r="C160" s="3" t="s">
        <v>258</v>
      </c>
      <c r="E160">
        <v>0</v>
      </c>
      <c r="F160">
        <v>1220</v>
      </c>
      <c r="J160">
        <v>790</v>
      </c>
    </row>
    <row r="161" spans="2:11" x14ac:dyDescent="0.25">
      <c r="B161" s="3" t="s">
        <v>4511</v>
      </c>
      <c r="C161" s="3" t="s">
        <v>4512</v>
      </c>
      <c r="F161">
        <v>120</v>
      </c>
      <c r="J161">
        <v>77</v>
      </c>
      <c r="K161" s="3">
        <v>80</v>
      </c>
    </row>
    <row r="162" spans="2:11" x14ac:dyDescent="0.25">
      <c r="B162" s="3" t="s">
        <v>4513</v>
      </c>
      <c r="C162" s="3" t="s">
        <v>4514</v>
      </c>
      <c r="F162">
        <v>160</v>
      </c>
      <c r="J162">
        <v>77</v>
      </c>
      <c r="K162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39"/>
  <sheetViews>
    <sheetView topLeftCell="A116" zoomScale="110" zoomScaleNormal="110" workbookViewId="0">
      <selection activeCell="C122" sqref="C122"/>
    </sheetView>
  </sheetViews>
  <sheetFormatPr defaultRowHeight="15" x14ac:dyDescent="0.25"/>
  <cols>
    <col min="2" max="2" width="15.5703125" customWidth="1"/>
    <col min="3" max="3" width="40.7109375" customWidth="1"/>
  </cols>
  <sheetData>
    <row r="1" spans="1:8" x14ac:dyDescent="0.25">
      <c r="A1" s="3" t="s">
        <v>592</v>
      </c>
      <c r="B1" s="3" t="s">
        <v>449</v>
      </c>
      <c r="C1" s="3" t="s">
        <v>593</v>
      </c>
      <c r="D1" s="3" t="s">
        <v>1312</v>
      </c>
      <c r="E1" s="3" t="s">
        <v>60</v>
      </c>
      <c r="F1" s="3" t="s">
        <v>722</v>
      </c>
    </row>
    <row r="2" spans="1:8" s="3" customFormat="1" x14ac:dyDescent="0.25"/>
    <row r="3" spans="1:8" s="3" customFormat="1" x14ac:dyDescent="0.25">
      <c r="C3" s="107" t="s">
        <v>2330</v>
      </c>
    </row>
    <row r="4" spans="1:8" s="3" customFormat="1" x14ac:dyDescent="0.25">
      <c r="C4" s="107"/>
    </row>
    <row r="5" spans="1:8" s="3" customFormat="1" x14ac:dyDescent="0.25">
      <c r="D5" s="3" t="s">
        <v>1312</v>
      </c>
    </row>
    <row r="6" spans="1:8" x14ac:dyDescent="0.25">
      <c r="A6">
        <v>1</v>
      </c>
      <c r="B6" s="3" t="s">
        <v>2020</v>
      </c>
      <c r="C6" s="3" t="s">
        <v>2021</v>
      </c>
      <c r="D6">
        <v>6</v>
      </c>
      <c r="E6">
        <v>430</v>
      </c>
      <c r="F6">
        <v>170</v>
      </c>
    </row>
    <row r="7" spans="1:8" x14ac:dyDescent="0.25">
      <c r="A7">
        <v>2</v>
      </c>
      <c r="B7" s="3" t="s">
        <v>2022</v>
      </c>
      <c r="C7" s="3" t="s">
        <v>2321</v>
      </c>
      <c r="D7">
        <v>4</v>
      </c>
      <c r="E7">
        <v>223</v>
      </c>
      <c r="F7">
        <v>110</v>
      </c>
      <c r="H7" s="3"/>
    </row>
    <row r="8" spans="1:8" x14ac:dyDescent="0.25">
      <c r="A8">
        <v>3</v>
      </c>
      <c r="B8" s="3" t="s">
        <v>2023</v>
      </c>
      <c r="C8" s="3" t="s">
        <v>2024</v>
      </c>
      <c r="D8">
        <v>21</v>
      </c>
      <c r="E8">
        <v>256</v>
      </c>
      <c r="F8">
        <v>130</v>
      </c>
      <c r="H8" s="3"/>
    </row>
    <row r="9" spans="1:8" x14ac:dyDescent="0.25">
      <c r="A9" s="3">
        <v>4</v>
      </c>
      <c r="B9" s="3" t="s">
        <v>2025</v>
      </c>
      <c r="C9" s="3" t="s">
        <v>2026</v>
      </c>
      <c r="D9">
        <v>8</v>
      </c>
      <c r="E9">
        <v>213</v>
      </c>
      <c r="F9">
        <v>110</v>
      </c>
      <c r="H9" s="3"/>
    </row>
    <row r="10" spans="1:8" x14ac:dyDescent="0.25">
      <c r="A10" s="3">
        <v>5</v>
      </c>
      <c r="B10" s="3" t="s">
        <v>2027</v>
      </c>
      <c r="C10" s="3" t="s">
        <v>2334</v>
      </c>
      <c r="D10">
        <v>23</v>
      </c>
      <c r="E10">
        <v>281</v>
      </c>
      <c r="F10">
        <v>142</v>
      </c>
      <c r="H10" s="3"/>
    </row>
    <row r="11" spans="1:8" x14ac:dyDescent="0.25">
      <c r="A11" s="3">
        <v>6</v>
      </c>
      <c r="B11" s="3" t="s">
        <v>2028</v>
      </c>
      <c r="C11" s="3" t="s">
        <v>2322</v>
      </c>
      <c r="D11">
        <v>18</v>
      </c>
      <c r="E11">
        <v>319</v>
      </c>
      <c r="F11">
        <v>162</v>
      </c>
      <c r="H11" s="3"/>
    </row>
    <row r="12" spans="1:8" x14ac:dyDescent="0.25">
      <c r="A12" s="3">
        <v>7</v>
      </c>
      <c r="B12" s="3" t="s">
        <v>2029</v>
      </c>
      <c r="C12" s="3" t="s">
        <v>2323</v>
      </c>
      <c r="D12">
        <v>19</v>
      </c>
      <c r="E12">
        <v>166</v>
      </c>
      <c r="F12">
        <v>91</v>
      </c>
      <c r="H12" s="3"/>
    </row>
    <row r="13" spans="1:8" x14ac:dyDescent="0.25">
      <c r="A13" s="3">
        <v>8</v>
      </c>
      <c r="B13" s="3" t="s">
        <v>2030</v>
      </c>
      <c r="C13" s="2" t="s">
        <v>3999</v>
      </c>
      <c r="D13">
        <v>46</v>
      </c>
      <c r="E13">
        <v>549</v>
      </c>
      <c r="F13">
        <v>288</v>
      </c>
      <c r="H13" s="3"/>
    </row>
    <row r="14" spans="1:8" x14ac:dyDescent="0.25">
      <c r="A14" s="3">
        <v>9</v>
      </c>
      <c r="B14" s="3" t="s">
        <v>2031</v>
      </c>
      <c r="C14" s="3" t="s">
        <v>2315</v>
      </c>
      <c r="D14">
        <v>14</v>
      </c>
      <c r="E14">
        <v>182</v>
      </c>
      <c r="F14">
        <v>87</v>
      </c>
      <c r="H14" s="3"/>
    </row>
    <row r="15" spans="1:8" x14ac:dyDescent="0.25">
      <c r="A15" s="3">
        <v>10</v>
      </c>
      <c r="B15" s="3" t="s">
        <v>2032</v>
      </c>
      <c r="C15" s="3" t="s">
        <v>2033</v>
      </c>
      <c r="D15">
        <v>6</v>
      </c>
      <c r="E15">
        <v>213</v>
      </c>
      <c r="F15">
        <v>104</v>
      </c>
      <c r="H15" s="3"/>
    </row>
    <row r="16" spans="1:8" x14ac:dyDescent="0.25">
      <c r="A16" s="3">
        <v>11</v>
      </c>
      <c r="B16" s="3" t="s">
        <v>2035</v>
      </c>
      <c r="C16" s="3" t="s">
        <v>2034</v>
      </c>
      <c r="D16">
        <v>16</v>
      </c>
      <c r="E16">
        <v>208</v>
      </c>
      <c r="F16">
        <v>101</v>
      </c>
      <c r="H16" s="3"/>
    </row>
    <row r="17" spans="1:8" x14ac:dyDescent="0.25">
      <c r="A17" s="3">
        <v>12</v>
      </c>
      <c r="B17" s="3" t="s">
        <v>2036</v>
      </c>
      <c r="C17" s="3" t="s">
        <v>2037</v>
      </c>
      <c r="D17">
        <v>14</v>
      </c>
      <c r="E17">
        <v>626</v>
      </c>
      <c r="F17">
        <v>325</v>
      </c>
      <c r="H17" s="3"/>
    </row>
    <row r="18" spans="1:8" s="3" customFormat="1" x14ac:dyDescent="0.25">
      <c r="A18" s="3">
        <v>13</v>
      </c>
      <c r="B18" s="3" t="s">
        <v>2267</v>
      </c>
      <c r="C18" s="3" t="s">
        <v>2268</v>
      </c>
      <c r="D18" s="3">
        <v>60</v>
      </c>
      <c r="E18" s="3">
        <v>615</v>
      </c>
    </row>
    <row r="19" spans="1:8" s="3" customFormat="1" x14ac:dyDescent="0.25">
      <c r="A19" s="3">
        <v>14</v>
      </c>
      <c r="B19" s="3" t="s">
        <v>2277</v>
      </c>
      <c r="C19" s="3" t="s">
        <v>2316</v>
      </c>
      <c r="D19" s="3">
        <v>23</v>
      </c>
      <c r="E19" s="3">
        <v>156</v>
      </c>
    </row>
    <row r="20" spans="1:8" s="3" customFormat="1" x14ac:dyDescent="0.25">
      <c r="A20" s="3">
        <v>15</v>
      </c>
      <c r="B20" s="3" t="s">
        <v>2278</v>
      </c>
      <c r="C20" s="3" t="s">
        <v>2317</v>
      </c>
      <c r="D20" s="3">
        <v>23</v>
      </c>
      <c r="E20" s="3">
        <v>272</v>
      </c>
    </row>
    <row r="21" spans="1:8" s="3" customFormat="1" x14ac:dyDescent="0.25">
      <c r="A21" s="3">
        <v>16</v>
      </c>
      <c r="B21" s="3" t="s">
        <v>2279</v>
      </c>
      <c r="C21" s="3" t="s">
        <v>1823</v>
      </c>
      <c r="D21" s="3">
        <v>13</v>
      </c>
      <c r="E21" s="3">
        <v>229</v>
      </c>
    </row>
    <row r="22" spans="1:8" s="3" customFormat="1" x14ac:dyDescent="0.25">
      <c r="A22" s="3">
        <v>17</v>
      </c>
      <c r="B22" s="3" t="s">
        <v>2280</v>
      </c>
      <c r="C22" s="3" t="s">
        <v>2319</v>
      </c>
      <c r="D22" s="3">
        <v>9</v>
      </c>
      <c r="E22" s="3">
        <v>650</v>
      </c>
    </row>
    <row r="23" spans="1:8" s="3" customFormat="1" x14ac:dyDescent="0.25">
      <c r="A23" s="3">
        <v>18</v>
      </c>
      <c r="B23" s="3" t="s">
        <v>2299</v>
      </c>
      <c r="C23" s="3" t="s">
        <v>2318</v>
      </c>
      <c r="D23" s="3">
        <v>28</v>
      </c>
      <c r="E23" s="3">
        <v>225</v>
      </c>
    </row>
    <row r="24" spans="1:8" s="3" customFormat="1" x14ac:dyDescent="0.25">
      <c r="A24" s="3">
        <v>19</v>
      </c>
      <c r="B24" s="3" t="s">
        <v>2301</v>
      </c>
      <c r="C24" s="3" t="s">
        <v>2320</v>
      </c>
      <c r="D24" s="3">
        <v>28</v>
      </c>
      <c r="E24" s="3">
        <v>274</v>
      </c>
    </row>
    <row r="25" spans="1:8" s="3" customFormat="1" x14ac:dyDescent="0.25">
      <c r="A25" s="3">
        <v>20</v>
      </c>
      <c r="B25" s="3" t="s">
        <v>2789</v>
      </c>
      <c r="C25" s="3" t="s">
        <v>2790</v>
      </c>
      <c r="D25" s="3">
        <v>26</v>
      </c>
      <c r="E25" s="3">
        <v>251</v>
      </c>
    </row>
    <row r="26" spans="1:8" s="3" customFormat="1" x14ac:dyDescent="0.25">
      <c r="B26" s="3" t="s">
        <v>2803</v>
      </c>
      <c r="C26" s="3" t="s">
        <v>2819</v>
      </c>
      <c r="D26" s="3">
        <v>16</v>
      </c>
      <c r="E26" s="3">
        <v>182</v>
      </c>
    </row>
    <row r="27" spans="1:8" s="3" customFormat="1" x14ac:dyDescent="0.25">
      <c r="B27" s="3" t="s">
        <v>2807</v>
      </c>
      <c r="C27" s="75" t="s">
        <v>2991</v>
      </c>
      <c r="D27" s="3">
        <v>7</v>
      </c>
      <c r="E27" s="3">
        <v>225</v>
      </c>
    </row>
    <row r="28" spans="1:8" s="3" customFormat="1" x14ac:dyDescent="0.25">
      <c r="B28" s="3" t="s">
        <v>3125</v>
      </c>
      <c r="C28" s="75" t="s">
        <v>1809</v>
      </c>
      <c r="D28" s="3">
        <v>10</v>
      </c>
      <c r="E28" s="3">
        <v>380</v>
      </c>
    </row>
    <row r="29" spans="1:8" s="3" customFormat="1" x14ac:dyDescent="0.25">
      <c r="B29" s="3" t="s">
        <v>3126</v>
      </c>
      <c r="C29" s="75" t="s">
        <v>765</v>
      </c>
      <c r="D29" s="3">
        <v>10</v>
      </c>
      <c r="E29" s="3">
        <v>756</v>
      </c>
    </row>
    <row r="30" spans="1:8" s="3" customFormat="1" x14ac:dyDescent="0.25">
      <c r="B30" s="3" t="s">
        <v>3246</v>
      </c>
      <c r="C30" s="75" t="s">
        <v>3247</v>
      </c>
      <c r="D30" s="3">
        <v>26</v>
      </c>
      <c r="E30" s="3">
        <v>232</v>
      </c>
    </row>
    <row r="31" spans="1:8" s="3" customFormat="1" x14ac:dyDescent="0.25">
      <c r="C31" s="3" t="s">
        <v>3773</v>
      </c>
    </row>
    <row r="32" spans="1:8" s="3" customFormat="1" x14ac:dyDescent="0.25">
      <c r="B32" s="3" t="s">
        <v>3774</v>
      </c>
      <c r="C32" s="75" t="s">
        <v>3801</v>
      </c>
      <c r="D32" s="3">
        <v>14</v>
      </c>
      <c r="E32" s="3">
        <v>355</v>
      </c>
    </row>
    <row r="33" spans="2:5" s="3" customFormat="1" x14ac:dyDescent="0.25">
      <c r="B33" s="3" t="s">
        <v>3775</v>
      </c>
      <c r="C33" s="75" t="s">
        <v>3802</v>
      </c>
      <c r="D33" s="3">
        <v>20</v>
      </c>
      <c r="E33" s="3">
        <v>330</v>
      </c>
    </row>
    <row r="34" spans="2:5" s="3" customFormat="1" x14ac:dyDescent="0.25">
      <c r="B34" s="3" t="s">
        <v>3776</v>
      </c>
      <c r="C34" s="75" t="s">
        <v>3803</v>
      </c>
      <c r="D34" s="3">
        <v>18</v>
      </c>
      <c r="E34" s="3">
        <v>414</v>
      </c>
    </row>
    <row r="35" spans="2:5" s="3" customFormat="1" x14ac:dyDescent="0.25">
      <c r="B35" s="3" t="s">
        <v>3780</v>
      </c>
      <c r="C35" s="3" t="s">
        <v>3800</v>
      </c>
      <c r="D35" s="3">
        <v>16</v>
      </c>
      <c r="E35" s="3">
        <v>312</v>
      </c>
    </row>
    <row r="36" spans="2:5" s="3" customFormat="1" x14ac:dyDescent="0.25">
      <c r="B36" s="3" t="s">
        <v>3781</v>
      </c>
      <c r="C36" s="3" t="s">
        <v>3782</v>
      </c>
      <c r="D36" s="3">
        <v>23</v>
      </c>
      <c r="E36" s="3">
        <v>375</v>
      </c>
    </row>
    <row r="37" spans="2:5" s="3" customFormat="1" x14ac:dyDescent="0.25">
      <c r="B37" s="3" t="s">
        <v>3785</v>
      </c>
      <c r="C37" s="3" t="s">
        <v>3786</v>
      </c>
      <c r="D37" s="3">
        <v>13</v>
      </c>
      <c r="E37" s="3">
        <v>426</v>
      </c>
    </row>
    <row r="38" spans="2:5" s="3" customFormat="1" x14ac:dyDescent="0.25">
      <c r="B38" s="3" t="s">
        <v>3787</v>
      </c>
      <c r="C38" s="3" t="s">
        <v>3788</v>
      </c>
      <c r="D38" s="3">
        <v>12</v>
      </c>
      <c r="E38" s="3">
        <v>244</v>
      </c>
    </row>
    <row r="39" spans="2:5" s="3" customFormat="1" x14ac:dyDescent="0.25">
      <c r="B39" s="3" t="s">
        <v>3789</v>
      </c>
      <c r="C39" s="3" t="s">
        <v>3790</v>
      </c>
      <c r="D39" s="3">
        <v>18</v>
      </c>
      <c r="E39" s="3">
        <v>295</v>
      </c>
    </row>
    <row r="40" spans="2:5" s="3" customFormat="1" x14ac:dyDescent="0.25">
      <c r="B40" s="3" t="s">
        <v>3794</v>
      </c>
      <c r="C40" s="3" t="s">
        <v>3795</v>
      </c>
      <c r="D40" s="3">
        <v>20</v>
      </c>
      <c r="E40" s="3">
        <v>349</v>
      </c>
    </row>
    <row r="41" spans="2:5" s="3" customFormat="1" x14ac:dyDescent="0.25">
      <c r="B41" s="3" t="s">
        <v>3796</v>
      </c>
      <c r="C41" s="3" t="s">
        <v>3797</v>
      </c>
      <c r="D41" s="3">
        <v>20</v>
      </c>
      <c r="E41" s="3">
        <v>364</v>
      </c>
    </row>
    <row r="42" spans="2:5" s="3" customFormat="1" x14ac:dyDescent="0.25">
      <c r="B42" s="3" t="s">
        <v>3798</v>
      </c>
      <c r="C42" s="3" t="s">
        <v>3799</v>
      </c>
      <c r="D42" s="3">
        <v>2</v>
      </c>
      <c r="E42" s="3">
        <v>527</v>
      </c>
    </row>
    <row r="43" spans="2:5" s="3" customFormat="1" x14ac:dyDescent="0.25">
      <c r="B43" s="3" t="s">
        <v>4303</v>
      </c>
      <c r="C43" s="3" t="s">
        <v>4304</v>
      </c>
      <c r="D43" s="3">
        <v>43</v>
      </c>
      <c r="E43" s="3">
        <v>280</v>
      </c>
    </row>
    <row r="44" spans="2:5" s="3" customFormat="1" x14ac:dyDescent="0.25"/>
    <row r="45" spans="2:5" s="3" customFormat="1" x14ac:dyDescent="0.25"/>
    <row r="46" spans="2:5" s="3" customFormat="1" x14ac:dyDescent="0.25">
      <c r="C46" s="107" t="s">
        <v>2331</v>
      </c>
    </row>
    <row r="47" spans="2:5" s="3" customFormat="1" x14ac:dyDescent="0.25">
      <c r="C47" s="107"/>
    </row>
    <row r="48" spans="2:5" x14ac:dyDescent="0.25">
      <c r="D48" s="3" t="s">
        <v>1312</v>
      </c>
    </row>
    <row r="49" spans="1:8" x14ac:dyDescent="0.25">
      <c r="A49">
        <v>1</v>
      </c>
      <c r="B49" s="3" t="s">
        <v>3793</v>
      </c>
      <c r="C49" s="3" t="s">
        <v>2038</v>
      </c>
      <c r="D49">
        <v>78</v>
      </c>
      <c r="E49">
        <v>424</v>
      </c>
    </row>
    <row r="50" spans="1:8" x14ac:dyDescent="0.25">
      <c r="A50">
        <v>2</v>
      </c>
      <c r="B50" s="3" t="s">
        <v>2039</v>
      </c>
      <c r="C50" s="3" t="s">
        <v>2040</v>
      </c>
      <c r="D50">
        <v>28</v>
      </c>
      <c r="E50">
        <v>174</v>
      </c>
      <c r="F50">
        <v>91</v>
      </c>
      <c r="H50" s="3"/>
    </row>
    <row r="51" spans="1:8" x14ac:dyDescent="0.25">
      <c r="A51" s="3">
        <v>3</v>
      </c>
      <c r="B51" s="3" t="s">
        <v>2041</v>
      </c>
      <c r="C51" s="3" t="s">
        <v>2042</v>
      </c>
      <c r="D51">
        <v>53</v>
      </c>
      <c r="E51">
        <v>495</v>
      </c>
      <c r="F51">
        <v>149</v>
      </c>
      <c r="H51" s="3"/>
    </row>
    <row r="52" spans="1:8" x14ac:dyDescent="0.25">
      <c r="A52" s="3">
        <v>4</v>
      </c>
      <c r="B52" s="3" t="s">
        <v>2043</v>
      </c>
      <c r="C52" s="3" t="s">
        <v>2044</v>
      </c>
      <c r="D52">
        <v>24</v>
      </c>
      <c r="E52">
        <v>435</v>
      </c>
      <c r="F52">
        <v>219</v>
      </c>
      <c r="H52" s="3"/>
    </row>
    <row r="53" spans="1:8" s="3" customFormat="1" x14ac:dyDescent="0.25">
      <c r="A53" s="3">
        <v>5</v>
      </c>
      <c r="B53" s="3" t="s">
        <v>2269</v>
      </c>
      <c r="C53" s="3" t="s">
        <v>2270</v>
      </c>
      <c r="D53" s="3">
        <v>56</v>
      </c>
      <c r="E53" s="3">
        <v>712</v>
      </c>
    </row>
    <row r="54" spans="1:8" s="3" customFormat="1" x14ac:dyDescent="0.25">
      <c r="A54" s="3">
        <v>6</v>
      </c>
      <c r="B54" s="3" t="s">
        <v>2422</v>
      </c>
      <c r="C54" s="3" t="s">
        <v>2271</v>
      </c>
      <c r="D54" s="3">
        <v>13</v>
      </c>
      <c r="E54" s="3">
        <v>922</v>
      </c>
    </row>
    <row r="55" spans="1:8" x14ac:dyDescent="0.25">
      <c r="A55" s="3">
        <v>7</v>
      </c>
      <c r="B55" s="3" t="s">
        <v>2272</v>
      </c>
      <c r="C55" s="3" t="s">
        <v>2273</v>
      </c>
      <c r="D55">
        <v>23</v>
      </c>
      <c r="E55">
        <v>851</v>
      </c>
      <c r="H55" s="3"/>
    </row>
    <row r="56" spans="1:8" s="3" customFormat="1" x14ac:dyDescent="0.25">
      <c r="A56" s="3">
        <v>8</v>
      </c>
      <c r="B56" s="3" t="s">
        <v>2281</v>
      </c>
      <c r="C56" s="3" t="s">
        <v>2326</v>
      </c>
      <c r="D56" s="3">
        <v>16</v>
      </c>
      <c r="E56" s="3">
        <v>171</v>
      </c>
    </row>
    <row r="57" spans="1:8" s="3" customFormat="1" x14ac:dyDescent="0.25">
      <c r="A57" s="3">
        <v>9</v>
      </c>
      <c r="B57" s="3" t="s">
        <v>2407</v>
      </c>
      <c r="C57" s="3" t="s">
        <v>2326</v>
      </c>
      <c r="D57" s="3">
        <v>3</v>
      </c>
      <c r="E57" s="3">
        <v>343</v>
      </c>
    </row>
    <row r="58" spans="1:8" s="3" customFormat="1" x14ac:dyDescent="0.25">
      <c r="A58" s="3">
        <v>10</v>
      </c>
      <c r="B58" s="3" t="s">
        <v>2283</v>
      </c>
      <c r="C58" s="3" t="s">
        <v>2284</v>
      </c>
      <c r="D58" s="3">
        <v>25</v>
      </c>
      <c r="E58" s="3">
        <v>166</v>
      </c>
    </row>
    <row r="59" spans="1:8" s="3" customFormat="1" x14ac:dyDescent="0.25">
      <c r="A59" s="3">
        <v>11</v>
      </c>
      <c r="B59" s="3" t="s">
        <v>2285</v>
      </c>
      <c r="C59" s="3" t="s">
        <v>2414</v>
      </c>
      <c r="D59" s="3">
        <v>20</v>
      </c>
      <c r="E59" s="3">
        <v>363</v>
      </c>
    </row>
    <row r="60" spans="1:8" s="3" customFormat="1" x14ac:dyDescent="0.25">
      <c r="A60" s="3">
        <v>12</v>
      </c>
      <c r="B60" s="3" t="s">
        <v>2404</v>
      </c>
      <c r="C60" s="3" t="s">
        <v>2415</v>
      </c>
      <c r="D60" s="3">
        <v>24</v>
      </c>
      <c r="E60" s="3">
        <v>343</v>
      </c>
    </row>
    <row r="61" spans="1:8" s="3" customFormat="1" x14ac:dyDescent="0.25">
      <c r="A61" s="3">
        <v>13</v>
      </c>
      <c r="B61" s="3" t="s">
        <v>2298</v>
      </c>
      <c r="C61" s="3" t="s">
        <v>2325</v>
      </c>
      <c r="D61" s="3">
        <v>104</v>
      </c>
      <c r="E61" s="3">
        <v>138</v>
      </c>
    </row>
    <row r="62" spans="1:8" s="3" customFormat="1" x14ac:dyDescent="0.25">
      <c r="A62" s="3">
        <v>14</v>
      </c>
      <c r="B62" s="3" t="s">
        <v>2300</v>
      </c>
      <c r="C62" s="3" t="s">
        <v>2324</v>
      </c>
      <c r="D62" s="3">
        <v>5</v>
      </c>
      <c r="E62" s="3">
        <v>435</v>
      </c>
    </row>
    <row r="63" spans="1:8" s="3" customFormat="1" x14ac:dyDescent="0.25">
      <c r="A63" s="3">
        <v>15</v>
      </c>
      <c r="B63" s="3" t="s">
        <v>2403</v>
      </c>
      <c r="C63" s="3" t="s">
        <v>2413</v>
      </c>
      <c r="D63" s="3">
        <v>36</v>
      </c>
      <c r="E63" s="3">
        <v>225</v>
      </c>
    </row>
    <row r="64" spans="1:8" s="3" customFormat="1" x14ac:dyDescent="0.25">
      <c r="A64" s="3">
        <v>16</v>
      </c>
      <c r="B64" s="3" t="s">
        <v>2408</v>
      </c>
      <c r="C64" s="3" t="s">
        <v>2420</v>
      </c>
      <c r="D64" s="3">
        <v>20</v>
      </c>
      <c r="E64" s="3">
        <v>548</v>
      </c>
    </row>
    <row r="65" spans="2:5" s="3" customFormat="1" x14ac:dyDescent="0.25">
      <c r="B65" s="3" t="s">
        <v>2782</v>
      </c>
      <c r="C65" s="3" t="s">
        <v>2783</v>
      </c>
      <c r="D65" s="3">
        <v>67</v>
      </c>
      <c r="E65" s="3">
        <v>134</v>
      </c>
    </row>
    <row r="66" spans="2:5" s="3" customFormat="1" x14ac:dyDescent="0.25">
      <c r="B66" s="3" t="s">
        <v>2854</v>
      </c>
      <c r="C66" s="3" t="s">
        <v>2855</v>
      </c>
      <c r="D66" s="3">
        <v>16</v>
      </c>
      <c r="E66" s="3">
        <v>792</v>
      </c>
    </row>
    <row r="67" spans="2:5" s="3" customFormat="1" x14ac:dyDescent="0.25">
      <c r="B67" s="3" t="s">
        <v>2999</v>
      </c>
      <c r="C67" s="3" t="s">
        <v>3014</v>
      </c>
      <c r="D67" s="3">
        <v>26</v>
      </c>
      <c r="E67" s="3">
        <v>658</v>
      </c>
    </row>
    <row r="68" spans="2:5" s="3" customFormat="1" x14ac:dyDescent="0.25">
      <c r="B68" s="3" t="s">
        <v>3057</v>
      </c>
      <c r="C68" s="3" t="s">
        <v>3058</v>
      </c>
      <c r="D68" s="3">
        <v>32</v>
      </c>
      <c r="E68" s="3">
        <v>130</v>
      </c>
    </row>
    <row r="69" spans="2:5" s="3" customFormat="1" x14ac:dyDescent="0.25">
      <c r="B69" s="3" t="s">
        <v>3059</v>
      </c>
      <c r="C69" s="3" t="s">
        <v>3062</v>
      </c>
      <c r="D69" s="3">
        <v>19</v>
      </c>
      <c r="E69" s="3">
        <v>932</v>
      </c>
    </row>
    <row r="70" spans="2:5" s="3" customFormat="1" x14ac:dyDescent="0.25">
      <c r="B70" s="3" t="s">
        <v>3060</v>
      </c>
      <c r="C70" s="3" t="s">
        <v>3061</v>
      </c>
      <c r="D70" s="3">
        <v>3</v>
      </c>
      <c r="E70" s="3">
        <v>869</v>
      </c>
    </row>
    <row r="71" spans="2:5" s="3" customFormat="1" x14ac:dyDescent="0.25">
      <c r="B71" s="3" t="s">
        <v>3791</v>
      </c>
      <c r="C71" s="3" t="s">
        <v>3792</v>
      </c>
      <c r="D71" s="3">
        <v>23</v>
      </c>
      <c r="E71" s="3">
        <v>630</v>
      </c>
    </row>
    <row r="72" spans="2:5" s="3" customFormat="1" x14ac:dyDescent="0.25">
      <c r="B72" s="3" t="s">
        <v>4599</v>
      </c>
      <c r="C72" s="3" t="s">
        <v>4600</v>
      </c>
      <c r="D72" s="3">
        <v>10</v>
      </c>
      <c r="E72" s="3">
        <v>91</v>
      </c>
    </row>
    <row r="73" spans="2:5" s="3" customFormat="1" x14ac:dyDescent="0.25"/>
    <row r="74" spans="2:5" s="3" customFormat="1" x14ac:dyDescent="0.25"/>
    <row r="75" spans="2:5" s="3" customFormat="1" x14ac:dyDescent="0.25"/>
    <row r="76" spans="2:5" s="3" customFormat="1" x14ac:dyDescent="0.25"/>
    <row r="77" spans="2:5" s="3" customFormat="1" x14ac:dyDescent="0.25"/>
    <row r="78" spans="2:5" s="3" customFormat="1" x14ac:dyDescent="0.25">
      <c r="C78" s="107" t="s">
        <v>2332</v>
      </c>
    </row>
    <row r="79" spans="2:5" s="3" customFormat="1" x14ac:dyDescent="0.25">
      <c r="C79" s="107"/>
    </row>
    <row r="80" spans="2:5" s="3" customFormat="1" x14ac:dyDescent="0.25">
      <c r="D80" s="3" t="s">
        <v>1312</v>
      </c>
    </row>
    <row r="81" spans="1:8" x14ac:dyDescent="0.25">
      <c r="A81">
        <v>1</v>
      </c>
      <c r="B81" s="3" t="s">
        <v>2045</v>
      </c>
      <c r="C81" s="3" t="s">
        <v>2046</v>
      </c>
      <c r="D81">
        <v>31</v>
      </c>
      <c r="E81">
        <v>199</v>
      </c>
      <c r="F81">
        <v>103</v>
      </c>
    </row>
    <row r="82" spans="1:8" x14ac:dyDescent="0.25">
      <c r="A82">
        <v>2</v>
      </c>
      <c r="B82" s="3" t="s">
        <v>2047</v>
      </c>
      <c r="C82" s="3" t="s">
        <v>3109</v>
      </c>
      <c r="D82">
        <v>44</v>
      </c>
      <c r="E82">
        <v>228</v>
      </c>
      <c r="F82">
        <v>82</v>
      </c>
      <c r="H82" s="3"/>
    </row>
    <row r="83" spans="1:8" x14ac:dyDescent="0.25">
      <c r="A83" s="3">
        <v>3</v>
      </c>
      <c r="B83" s="3" t="s">
        <v>2049</v>
      </c>
      <c r="C83" s="3" t="s">
        <v>2048</v>
      </c>
      <c r="D83">
        <v>7</v>
      </c>
      <c r="E83">
        <v>201</v>
      </c>
      <c r="F83">
        <v>97</v>
      </c>
      <c r="H83" s="3"/>
    </row>
    <row r="84" spans="1:8" x14ac:dyDescent="0.25">
      <c r="A84" s="3">
        <v>4</v>
      </c>
      <c r="B84" s="3" t="s">
        <v>2050</v>
      </c>
      <c r="C84" s="3" t="s">
        <v>2051</v>
      </c>
      <c r="D84">
        <v>2</v>
      </c>
      <c r="E84">
        <v>378</v>
      </c>
      <c r="F84">
        <v>195</v>
      </c>
      <c r="H84" s="3"/>
    </row>
    <row r="85" spans="1:8" s="3" customFormat="1" x14ac:dyDescent="0.25">
      <c r="A85" s="3">
        <v>5</v>
      </c>
      <c r="B85" s="3" t="s">
        <v>2282</v>
      </c>
      <c r="C85" s="3" t="s">
        <v>2327</v>
      </c>
      <c r="D85" s="3">
        <v>9</v>
      </c>
      <c r="E85" s="3">
        <v>184</v>
      </c>
    </row>
    <row r="86" spans="1:8" s="3" customFormat="1" x14ac:dyDescent="0.25">
      <c r="A86" s="3">
        <v>6</v>
      </c>
      <c r="B86" s="3" t="s">
        <v>2286</v>
      </c>
      <c r="C86" s="3" t="s">
        <v>2329</v>
      </c>
      <c r="D86" s="3">
        <v>30</v>
      </c>
      <c r="E86" s="3">
        <v>272</v>
      </c>
    </row>
    <row r="87" spans="1:8" s="3" customFormat="1" x14ac:dyDescent="0.25">
      <c r="A87" s="3">
        <v>7</v>
      </c>
      <c r="B87" s="3" t="s">
        <v>2287</v>
      </c>
      <c r="C87" s="3" t="s">
        <v>2328</v>
      </c>
      <c r="D87" s="3">
        <v>78</v>
      </c>
      <c r="E87" s="3">
        <v>205</v>
      </c>
    </row>
    <row r="88" spans="1:8" s="3" customFormat="1" x14ac:dyDescent="0.25">
      <c r="A88" s="3">
        <v>8</v>
      </c>
      <c r="B88" s="3" t="s">
        <v>2302</v>
      </c>
      <c r="C88" s="3" t="s">
        <v>2441</v>
      </c>
      <c r="D88" s="3">
        <v>28</v>
      </c>
      <c r="E88" s="3">
        <v>118</v>
      </c>
    </row>
    <row r="89" spans="1:8" s="3" customFormat="1" x14ac:dyDescent="0.25">
      <c r="A89" s="3">
        <v>9</v>
      </c>
      <c r="B89" s="3" t="s">
        <v>2400</v>
      </c>
      <c r="C89" s="3" t="s">
        <v>2416</v>
      </c>
      <c r="D89" s="3">
        <v>0</v>
      </c>
      <c r="E89" s="3">
        <v>220</v>
      </c>
    </row>
    <row r="90" spans="1:8" s="3" customFormat="1" x14ac:dyDescent="0.25">
      <c r="A90" s="3">
        <v>10</v>
      </c>
      <c r="B90" s="3" t="s">
        <v>2401</v>
      </c>
      <c r="C90" s="3" t="s">
        <v>2417</v>
      </c>
      <c r="D90" s="3">
        <v>37</v>
      </c>
      <c r="E90" s="3">
        <v>111</v>
      </c>
    </row>
    <row r="91" spans="1:8" s="3" customFormat="1" x14ac:dyDescent="0.25">
      <c r="A91" s="3">
        <v>11</v>
      </c>
      <c r="B91" s="3" t="s">
        <v>2402</v>
      </c>
      <c r="C91" s="3" t="s">
        <v>2418</v>
      </c>
      <c r="D91" s="3">
        <v>24</v>
      </c>
      <c r="E91" s="3">
        <v>116</v>
      </c>
    </row>
    <row r="92" spans="1:8" s="3" customFormat="1" x14ac:dyDescent="0.25">
      <c r="A92" s="3">
        <v>12</v>
      </c>
      <c r="B92" s="3" t="s">
        <v>2406</v>
      </c>
      <c r="C92" s="3" t="s">
        <v>2419</v>
      </c>
      <c r="D92" s="3">
        <v>9</v>
      </c>
      <c r="E92" s="3">
        <v>234</v>
      </c>
    </row>
    <row r="93" spans="1:8" s="3" customFormat="1" x14ac:dyDescent="0.25">
      <c r="B93" s="3" t="s">
        <v>2423</v>
      </c>
      <c r="C93" s="3" t="s">
        <v>2798</v>
      </c>
      <c r="D93" s="3">
        <v>22</v>
      </c>
      <c r="E93" s="3">
        <v>156</v>
      </c>
    </row>
    <row r="94" spans="1:8" s="3" customFormat="1" x14ac:dyDescent="0.25">
      <c r="B94" s="3" t="s">
        <v>2433</v>
      </c>
      <c r="C94" s="3" t="s">
        <v>2439</v>
      </c>
      <c r="D94" s="3">
        <v>34</v>
      </c>
      <c r="E94" s="3">
        <v>213</v>
      </c>
    </row>
    <row r="95" spans="1:8" s="3" customFormat="1" x14ac:dyDescent="0.25">
      <c r="B95" s="3" t="s">
        <v>2434</v>
      </c>
      <c r="C95" s="3" t="s">
        <v>2437</v>
      </c>
      <c r="D95" s="3">
        <v>28</v>
      </c>
      <c r="E95" s="3">
        <v>106</v>
      </c>
    </row>
    <row r="96" spans="1:8" s="3" customFormat="1" x14ac:dyDescent="0.25">
      <c r="B96" s="3" t="s">
        <v>2435</v>
      </c>
      <c r="C96" s="3" t="s">
        <v>2438</v>
      </c>
      <c r="D96" s="3">
        <v>51</v>
      </c>
      <c r="E96" s="3">
        <v>213</v>
      </c>
    </row>
    <row r="97" spans="2:5" s="3" customFormat="1" x14ac:dyDescent="0.25">
      <c r="B97" s="3" t="s">
        <v>2436</v>
      </c>
      <c r="C97" s="3" t="s">
        <v>2440</v>
      </c>
      <c r="D97" s="3">
        <v>24</v>
      </c>
      <c r="E97" s="3">
        <v>102</v>
      </c>
    </row>
    <row r="98" spans="2:5" s="3" customFormat="1" x14ac:dyDescent="0.25">
      <c r="B98" s="3" t="s">
        <v>2487</v>
      </c>
      <c r="C98" s="3" t="s">
        <v>3338</v>
      </c>
      <c r="D98" s="3">
        <v>9</v>
      </c>
      <c r="E98" s="3">
        <v>181</v>
      </c>
    </row>
    <row r="99" spans="2:5" s="3" customFormat="1" x14ac:dyDescent="0.25">
      <c r="B99" s="3" t="s">
        <v>2804</v>
      </c>
      <c r="C99" s="3" t="s">
        <v>2820</v>
      </c>
      <c r="D99" s="3">
        <v>21</v>
      </c>
      <c r="E99" s="3">
        <v>208</v>
      </c>
    </row>
    <row r="100" spans="2:5" s="3" customFormat="1" x14ac:dyDescent="0.25">
      <c r="B100" s="3" t="s">
        <v>2805</v>
      </c>
      <c r="C100" s="3" t="s">
        <v>2822</v>
      </c>
      <c r="D100" s="3">
        <v>9</v>
      </c>
      <c r="E100" s="3">
        <v>254</v>
      </c>
    </row>
    <row r="101" spans="2:5" s="3" customFormat="1" x14ac:dyDescent="0.25">
      <c r="B101" s="3" t="s">
        <v>2806</v>
      </c>
      <c r="C101" s="3" t="s">
        <v>2821</v>
      </c>
      <c r="D101" s="3">
        <v>20</v>
      </c>
      <c r="E101" s="3">
        <v>201</v>
      </c>
    </row>
    <row r="102" spans="2:5" s="3" customFormat="1" x14ac:dyDescent="0.25">
      <c r="B102" s="3" t="s">
        <v>2808</v>
      </c>
      <c r="C102" s="3" t="s">
        <v>2318</v>
      </c>
      <c r="D102" s="3">
        <v>11</v>
      </c>
      <c r="E102" s="3">
        <v>109</v>
      </c>
    </row>
    <row r="103" spans="2:5" s="3" customFormat="1" x14ac:dyDescent="0.25">
      <c r="B103" s="3" t="s">
        <v>3000</v>
      </c>
      <c r="C103" s="3" t="s">
        <v>3108</v>
      </c>
      <c r="D103" s="3">
        <v>32</v>
      </c>
      <c r="E103" s="3">
        <v>144</v>
      </c>
    </row>
    <row r="104" spans="2:5" s="3" customFormat="1" x14ac:dyDescent="0.25">
      <c r="B104" s="3" t="s">
        <v>3083</v>
      </c>
      <c r="C104" s="3" t="s">
        <v>3110</v>
      </c>
      <c r="D104" s="3">
        <v>27</v>
      </c>
      <c r="E104" s="3">
        <v>123</v>
      </c>
    </row>
    <row r="105" spans="2:5" s="3" customFormat="1" x14ac:dyDescent="0.25">
      <c r="B105" s="3" t="s">
        <v>3159</v>
      </c>
      <c r="C105" s="3" t="s">
        <v>1809</v>
      </c>
      <c r="D105" s="3">
        <v>12</v>
      </c>
      <c r="E105" s="3">
        <v>360</v>
      </c>
    </row>
    <row r="106" spans="2:5" s="3" customFormat="1" x14ac:dyDescent="0.25">
      <c r="B106" s="3" t="s">
        <v>3160</v>
      </c>
      <c r="C106" s="3" t="s">
        <v>3161</v>
      </c>
      <c r="D106" s="3">
        <v>14</v>
      </c>
      <c r="E106" s="3">
        <v>232</v>
      </c>
    </row>
    <row r="107" spans="2:5" s="3" customFormat="1" x14ac:dyDescent="0.25">
      <c r="B107" s="3" t="s">
        <v>3244</v>
      </c>
      <c r="C107" s="3" t="s">
        <v>3245</v>
      </c>
      <c r="D107" s="3">
        <v>9</v>
      </c>
      <c r="E107" s="3">
        <v>222</v>
      </c>
    </row>
    <row r="108" spans="2:5" s="3" customFormat="1" x14ac:dyDescent="0.25">
      <c r="B108" s="3" t="s">
        <v>4596</v>
      </c>
      <c r="C108" s="3" t="s">
        <v>4597</v>
      </c>
      <c r="D108" s="3">
        <v>24</v>
      </c>
      <c r="E108" s="3">
        <v>298</v>
      </c>
    </row>
    <row r="109" spans="2:5" s="3" customFormat="1" x14ac:dyDescent="0.25"/>
    <row r="110" spans="2:5" s="3" customFormat="1" x14ac:dyDescent="0.25">
      <c r="B110" s="3" t="s">
        <v>3778</v>
      </c>
      <c r="C110" s="3" t="s">
        <v>3805</v>
      </c>
      <c r="D110" s="3">
        <v>5</v>
      </c>
      <c r="E110" s="3">
        <v>212</v>
      </c>
    </row>
    <row r="111" spans="2:5" s="3" customFormat="1" x14ac:dyDescent="0.25">
      <c r="B111" s="3" t="s">
        <v>3783</v>
      </c>
      <c r="C111" s="3" t="s">
        <v>3784</v>
      </c>
      <c r="D111" s="3">
        <v>8</v>
      </c>
      <c r="E111" s="3">
        <v>254</v>
      </c>
    </row>
    <row r="112" spans="2:5" s="3" customFormat="1" x14ac:dyDescent="0.25">
      <c r="B112" s="3" t="s">
        <v>3806</v>
      </c>
      <c r="C112" s="3" t="s">
        <v>3807</v>
      </c>
      <c r="D112" s="3">
        <v>24</v>
      </c>
      <c r="E112" s="3">
        <v>222</v>
      </c>
    </row>
    <row r="113" spans="1:8" s="3" customFormat="1" x14ac:dyDescent="0.25">
      <c r="B113" s="3" t="s">
        <v>3777</v>
      </c>
      <c r="C113" s="3" t="s">
        <v>3804</v>
      </c>
      <c r="D113" s="3">
        <v>10</v>
      </c>
      <c r="E113" s="3">
        <v>237</v>
      </c>
    </row>
    <row r="114" spans="1:8" s="3" customFormat="1" x14ac:dyDescent="0.25"/>
    <row r="115" spans="1:8" s="3" customFormat="1" x14ac:dyDescent="0.25">
      <c r="C115" s="108" t="s">
        <v>2333</v>
      </c>
    </row>
    <row r="116" spans="1:8" s="3" customFormat="1" x14ac:dyDescent="0.25">
      <c r="C116" s="108"/>
    </row>
    <row r="117" spans="1:8" x14ac:dyDescent="0.25">
      <c r="D117" s="3" t="s">
        <v>1312</v>
      </c>
    </row>
    <row r="118" spans="1:8" x14ac:dyDescent="0.25">
      <c r="A118">
        <v>1</v>
      </c>
      <c r="B118" s="3" t="s">
        <v>2052</v>
      </c>
      <c r="C118" s="3" t="s">
        <v>2719</v>
      </c>
      <c r="D118">
        <v>18</v>
      </c>
      <c r="E118">
        <v>120</v>
      </c>
    </row>
    <row r="119" spans="1:8" x14ac:dyDescent="0.25">
      <c r="A119">
        <v>2</v>
      </c>
      <c r="B119" s="3" t="s">
        <v>2399</v>
      </c>
      <c r="C119" s="3" t="s">
        <v>3832</v>
      </c>
      <c r="D119">
        <v>26</v>
      </c>
      <c r="E119">
        <v>449</v>
      </c>
      <c r="H119" s="3"/>
    </row>
    <row r="120" spans="1:8" x14ac:dyDescent="0.25">
      <c r="A120">
        <v>3</v>
      </c>
      <c r="B120" s="3" t="s">
        <v>2405</v>
      </c>
      <c r="C120" s="3" t="s">
        <v>3833</v>
      </c>
      <c r="D120">
        <v>19</v>
      </c>
      <c r="E120">
        <v>738</v>
      </c>
      <c r="H120" s="3"/>
    </row>
    <row r="121" spans="1:8" x14ac:dyDescent="0.25">
      <c r="B121" s="3" t="s">
        <v>2791</v>
      </c>
      <c r="C121" s="3" t="s">
        <v>3223</v>
      </c>
      <c r="D121">
        <v>29</v>
      </c>
      <c r="E121">
        <v>264</v>
      </c>
      <c r="H121" s="3"/>
    </row>
    <row r="122" spans="1:8" x14ac:dyDescent="0.25">
      <c r="B122" s="3" t="s">
        <v>2799</v>
      </c>
      <c r="C122" s="3" t="s">
        <v>2082</v>
      </c>
      <c r="D122">
        <v>32</v>
      </c>
      <c r="E122">
        <v>120</v>
      </c>
      <c r="H122" s="3"/>
    </row>
    <row r="123" spans="1:8" x14ac:dyDescent="0.25">
      <c r="B123" s="3" t="s">
        <v>2800</v>
      </c>
      <c r="C123" s="3" t="s">
        <v>3212</v>
      </c>
      <c r="D123">
        <v>0</v>
      </c>
      <c r="E123">
        <v>331</v>
      </c>
      <c r="H123" s="3"/>
    </row>
    <row r="124" spans="1:8" x14ac:dyDescent="0.25">
      <c r="B124" s="3" t="s">
        <v>2801</v>
      </c>
      <c r="C124" s="3" t="s">
        <v>2802</v>
      </c>
      <c r="D124">
        <v>20</v>
      </c>
      <c r="E124">
        <v>252</v>
      </c>
      <c r="H124" s="3"/>
    </row>
    <row r="125" spans="1:8" x14ac:dyDescent="0.25">
      <c r="B125" s="3" t="s">
        <v>3124</v>
      </c>
      <c r="C125" s="3" t="s">
        <v>3127</v>
      </c>
      <c r="D125" s="3">
        <v>0</v>
      </c>
      <c r="E125">
        <v>558</v>
      </c>
      <c r="H125" s="3"/>
    </row>
    <row r="126" spans="1:8" x14ac:dyDescent="0.25">
      <c r="B126" s="3" t="s">
        <v>3221</v>
      </c>
      <c r="C126" s="3" t="s">
        <v>3222</v>
      </c>
      <c r="D126">
        <v>16</v>
      </c>
      <c r="E126">
        <v>336</v>
      </c>
    </row>
    <row r="127" spans="1:8" x14ac:dyDescent="0.25">
      <c r="B127" s="3" t="s">
        <v>3779</v>
      </c>
      <c r="C127" s="3" t="s">
        <v>3892</v>
      </c>
      <c r="D127">
        <v>26</v>
      </c>
      <c r="E127">
        <v>336</v>
      </c>
    </row>
    <row r="128" spans="1:8" x14ac:dyDescent="0.25">
      <c r="B128" s="3" t="s">
        <v>3908</v>
      </c>
      <c r="C128" s="3" t="s">
        <v>3909</v>
      </c>
      <c r="D128">
        <v>27</v>
      </c>
      <c r="E128">
        <v>750</v>
      </c>
    </row>
    <row r="129" spans="2:5" s="3" customFormat="1" x14ac:dyDescent="0.25">
      <c r="B129" s="3" t="s">
        <v>3959</v>
      </c>
      <c r="C129" s="3" t="s">
        <v>3960</v>
      </c>
      <c r="D129" s="3">
        <v>11</v>
      </c>
      <c r="E129" s="3">
        <v>367</v>
      </c>
    </row>
    <row r="130" spans="2:5" s="3" customFormat="1" x14ac:dyDescent="0.25">
      <c r="B130" s="3" t="s">
        <v>4598</v>
      </c>
      <c r="C130" s="3" t="s">
        <v>3013</v>
      </c>
      <c r="D130" s="3">
        <v>24</v>
      </c>
      <c r="E130" s="3">
        <v>336</v>
      </c>
    </row>
    <row r="131" spans="2:5" s="3" customFormat="1" x14ac:dyDescent="0.25"/>
    <row r="132" spans="2:5" s="3" customFormat="1" x14ac:dyDescent="0.25"/>
    <row r="133" spans="2:5" ht="23.25" x14ac:dyDescent="0.35">
      <c r="C133" s="79" t="s">
        <v>3248</v>
      </c>
    </row>
    <row r="135" spans="2:5" x14ac:dyDescent="0.25">
      <c r="B135" s="3" t="s">
        <v>3249</v>
      </c>
      <c r="C135" s="3" t="s">
        <v>3250</v>
      </c>
      <c r="D135">
        <v>18</v>
      </c>
      <c r="E135">
        <v>201</v>
      </c>
    </row>
    <row r="136" spans="2:5" x14ac:dyDescent="0.25">
      <c r="B136" s="3" t="s">
        <v>3251</v>
      </c>
      <c r="C136" s="3" t="s">
        <v>3252</v>
      </c>
      <c r="D136">
        <v>15</v>
      </c>
      <c r="E136">
        <v>232</v>
      </c>
    </row>
    <row r="137" spans="2:5" x14ac:dyDescent="0.25">
      <c r="B137" s="3" t="s">
        <v>3253</v>
      </c>
      <c r="C137" s="3" t="s">
        <v>3256</v>
      </c>
      <c r="D137">
        <v>11</v>
      </c>
      <c r="E137">
        <v>370</v>
      </c>
    </row>
    <row r="138" spans="2:5" x14ac:dyDescent="0.25">
      <c r="B138" s="3" t="s">
        <v>3254</v>
      </c>
      <c r="C138" s="3" t="s">
        <v>3255</v>
      </c>
      <c r="D138">
        <v>3</v>
      </c>
      <c r="E138">
        <v>222</v>
      </c>
    </row>
    <row r="139" spans="2:5" x14ac:dyDescent="0.25">
      <c r="B139" s="3" t="s">
        <v>3257</v>
      </c>
      <c r="C139" s="3" t="s">
        <v>3258</v>
      </c>
      <c r="D139">
        <v>15</v>
      </c>
      <c r="E139">
        <v>308</v>
      </c>
    </row>
  </sheetData>
  <sheetProtection password="CF21" sheet="1" objects="1" scenarios="1"/>
  <mergeCells count="4">
    <mergeCell ref="C3:C4"/>
    <mergeCell ref="C46:C47"/>
    <mergeCell ref="C78:C79"/>
    <mergeCell ref="C115:C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G38"/>
  <sheetViews>
    <sheetView topLeftCell="A2" zoomScale="110" zoomScaleNormal="110" workbookViewId="0">
      <selection activeCell="D31" sqref="D31"/>
    </sheetView>
  </sheetViews>
  <sheetFormatPr defaultRowHeight="15" x14ac:dyDescent="0.25"/>
  <cols>
    <col min="2" max="2" width="13.28515625" style="4" customWidth="1"/>
    <col min="3" max="3" width="20.85546875" customWidth="1"/>
    <col min="4" max="4" width="8.140625" customWidth="1"/>
    <col min="6" max="6" width="9.140625" customWidth="1"/>
    <col min="7" max="8" width="8.7109375" customWidth="1"/>
  </cols>
  <sheetData>
    <row r="1" spans="2:7" x14ac:dyDescent="0.25">
      <c r="B1" s="4" t="s">
        <v>449</v>
      </c>
      <c r="C1" s="3" t="s">
        <v>593</v>
      </c>
      <c r="D1" s="3" t="s">
        <v>1312</v>
      </c>
      <c r="E1" s="3" t="s">
        <v>595</v>
      </c>
      <c r="F1" s="3" t="s">
        <v>722</v>
      </c>
      <c r="G1" s="3" t="s">
        <v>3374</v>
      </c>
    </row>
    <row r="2" spans="2:7" x14ac:dyDescent="0.25">
      <c r="B2" s="4">
        <v>402</v>
      </c>
      <c r="C2" s="3" t="s">
        <v>2344</v>
      </c>
      <c r="D2">
        <v>10</v>
      </c>
      <c r="E2">
        <v>110</v>
      </c>
      <c r="F2">
        <v>57</v>
      </c>
    </row>
    <row r="3" spans="2:7" x14ac:dyDescent="0.25">
      <c r="B3" s="4">
        <v>404</v>
      </c>
      <c r="C3" s="3" t="s">
        <v>2345</v>
      </c>
      <c r="D3">
        <v>10</v>
      </c>
      <c r="E3">
        <v>110</v>
      </c>
      <c r="F3">
        <v>56</v>
      </c>
    </row>
    <row r="4" spans="2:7" x14ac:dyDescent="0.25">
      <c r="B4" s="4">
        <v>431</v>
      </c>
      <c r="C4" s="3" t="s">
        <v>2346</v>
      </c>
      <c r="D4">
        <v>0</v>
      </c>
      <c r="E4">
        <v>127</v>
      </c>
      <c r="F4">
        <v>57</v>
      </c>
      <c r="G4" s="3" t="s">
        <v>3375</v>
      </c>
    </row>
    <row r="5" spans="2:7" x14ac:dyDescent="0.25">
      <c r="B5" s="4">
        <v>432</v>
      </c>
      <c r="C5" s="3" t="s">
        <v>3446</v>
      </c>
      <c r="D5">
        <v>40</v>
      </c>
      <c r="E5">
        <v>140</v>
      </c>
      <c r="F5">
        <v>57</v>
      </c>
      <c r="G5" s="3" t="s">
        <v>3375</v>
      </c>
    </row>
    <row r="6" spans="2:7" x14ac:dyDescent="0.25">
      <c r="B6" s="4">
        <v>434</v>
      </c>
      <c r="C6" s="3" t="s">
        <v>2347</v>
      </c>
      <c r="D6">
        <v>30</v>
      </c>
      <c r="E6">
        <v>135</v>
      </c>
      <c r="F6">
        <v>61</v>
      </c>
    </row>
    <row r="7" spans="2:7" s="3" customFormat="1" x14ac:dyDescent="0.25">
      <c r="B7" s="4">
        <v>461</v>
      </c>
      <c r="C7" s="3" t="s">
        <v>3638</v>
      </c>
      <c r="D7" s="3">
        <v>0</v>
      </c>
      <c r="F7" s="3">
        <v>70</v>
      </c>
    </row>
    <row r="8" spans="2:7" x14ac:dyDescent="0.25">
      <c r="B8" s="4">
        <v>462</v>
      </c>
      <c r="C8" s="3" t="s">
        <v>2348</v>
      </c>
      <c r="D8">
        <v>30</v>
      </c>
      <c r="E8">
        <v>145</v>
      </c>
      <c r="F8">
        <v>70</v>
      </c>
      <c r="G8" s="3" t="s">
        <v>3372</v>
      </c>
    </row>
    <row r="9" spans="2:7" x14ac:dyDescent="0.25">
      <c r="B9" s="4">
        <v>7462</v>
      </c>
      <c r="C9" s="68" t="s">
        <v>2349</v>
      </c>
      <c r="D9">
        <v>10</v>
      </c>
      <c r="E9">
        <v>235</v>
      </c>
      <c r="F9">
        <v>124</v>
      </c>
    </row>
    <row r="10" spans="2:7" x14ac:dyDescent="0.25">
      <c r="B10" s="4">
        <v>5442</v>
      </c>
      <c r="C10" s="69" t="s">
        <v>2350</v>
      </c>
      <c r="D10">
        <v>10</v>
      </c>
      <c r="E10">
        <v>220</v>
      </c>
      <c r="F10">
        <v>108</v>
      </c>
    </row>
    <row r="11" spans="2:7" x14ac:dyDescent="0.25">
      <c r="B11" s="4">
        <v>587</v>
      </c>
      <c r="C11" s="3" t="s">
        <v>2351</v>
      </c>
    </row>
    <row r="12" spans="2:7" x14ac:dyDescent="0.25">
      <c r="B12" s="4">
        <v>611</v>
      </c>
      <c r="C12" s="3" t="s">
        <v>2352</v>
      </c>
      <c r="D12">
        <v>0</v>
      </c>
      <c r="E12">
        <v>65</v>
      </c>
      <c r="F12">
        <v>28</v>
      </c>
      <c r="G12" s="3" t="s">
        <v>3373</v>
      </c>
    </row>
    <row r="13" spans="2:7" x14ac:dyDescent="0.25">
      <c r="B13" s="4">
        <v>612</v>
      </c>
      <c r="C13" s="3" t="s">
        <v>2353</v>
      </c>
      <c r="D13">
        <v>30</v>
      </c>
      <c r="E13">
        <v>105</v>
      </c>
      <c r="F13">
        <v>35.6</v>
      </c>
    </row>
    <row r="14" spans="2:7" x14ac:dyDescent="0.25">
      <c r="B14" s="4">
        <v>622</v>
      </c>
      <c r="C14" s="3" t="s">
        <v>2354</v>
      </c>
      <c r="D14">
        <v>90</v>
      </c>
      <c r="E14">
        <v>102</v>
      </c>
      <c r="F14">
        <v>37.5</v>
      </c>
    </row>
    <row r="15" spans="2:7" x14ac:dyDescent="0.25">
      <c r="B15" s="4">
        <v>651</v>
      </c>
      <c r="C15" s="3" t="s">
        <v>2355</v>
      </c>
      <c r="D15">
        <v>20</v>
      </c>
      <c r="E15">
        <v>90</v>
      </c>
      <c r="F15">
        <v>54</v>
      </c>
    </row>
    <row r="16" spans="2:7" x14ac:dyDescent="0.25">
      <c r="B16" s="4">
        <v>652</v>
      </c>
      <c r="C16" s="3" t="s">
        <v>2356</v>
      </c>
      <c r="D16">
        <v>13</v>
      </c>
      <c r="E16">
        <v>110</v>
      </c>
      <c r="F16">
        <v>71.5</v>
      </c>
    </row>
    <row r="17" spans="2:7" x14ac:dyDescent="0.25">
      <c r="B17" s="4">
        <v>661</v>
      </c>
      <c r="C17" s="3" t="s">
        <v>2357</v>
      </c>
      <c r="D17">
        <v>20</v>
      </c>
      <c r="E17">
        <v>130</v>
      </c>
      <c r="F17">
        <v>66</v>
      </c>
    </row>
    <row r="18" spans="2:7" x14ac:dyDescent="0.25">
      <c r="B18" s="4">
        <v>1305</v>
      </c>
      <c r="C18" s="3" t="s">
        <v>2358</v>
      </c>
      <c r="D18">
        <v>30</v>
      </c>
      <c r="E18">
        <v>220</v>
      </c>
      <c r="F18">
        <v>89</v>
      </c>
    </row>
    <row r="19" spans="2:7" x14ac:dyDescent="0.25">
      <c r="B19" s="4">
        <v>1306</v>
      </c>
      <c r="C19" s="3" t="s">
        <v>2359</v>
      </c>
      <c r="D19">
        <v>0</v>
      </c>
      <c r="E19">
        <v>230</v>
      </c>
      <c r="F19">
        <v>118</v>
      </c>
      <c r="G19" s="3" t="s">
        <v>3911</v>
      </c>
    </row>
    <row r="20" spans="2:7" x14ac:dyDescent="0.25">
      <c r="B20" s="4">
        <v>1307</v>
      </c>
      <c r="C20" s="3" t="s">
        <v>2360</v>
      </c>
      <c r="D20">
        <v>30</v>
      </c>
      <c r="F20">
        <v>116</v>
      </c>
    </row>
    <row r="21" spans="2:7" x14ac:dyDescent="0.25">
      <c r="B21" s="4">
        <v>1309</v>
      </c>
      <c r="C21" s="3" t="s">
        <v>2361</v>
      </c>
      <c r="D21">
        <v>14</v>
      </c>
      <c r="E21">
        <v>320</v>
      </c>
      <c r="F21">
        <v>158</v>
      </c>
    </row>
    <row r="22" spans="2:7" x14ac:dyDescent="0.25">
      <c r="B22" s="4" t="s">
        <v>2362</v>
      </c>
      <c r="C22" s="3" t="s">
        <v>2363</v>
      </c>
      <c r="D22">
        <v>100</v>
      </c>
      <c r="E22">
        <v>10</v>
      </c>
      <c r="F22">
        <v>3.5</v>
      </c>
    </row>
    <row r="23" spans="2:7" x14ac:dyDescent="0.25">
      <c r="B23" s="4" t="s">
        <v>2368</v>
      </c>
      <c r="C23" s="3" t="s">
        <v>2364</v>
      </c>
      <c r="D23">
        <v>140</v>
      </c>
      <c r="E23">
        <v>17</v>
      </c>
      <c r="F23">
        <v>9</v>
      </c>
    </row>
    <row r="24" spans="2:7" x14ac:dyDescent="0.25">
      <c r="B24" s="4">
        <v>1141</v>
      </c>
      <c r="C24" s="3" t="s">
        <v>2365</v>
      </c>
      <c r="D24">
        <v>110</v>
      </c>
      <c r="E24">
        <v>15</v>
      </c>
      <c r="F24">
        <v>8.3000000000000007</v>
      </c>
    </row>
    <row r="25" spans="2:7" x14ac:dyDescent="0.25">
      <c r="B25" s="4">
        <v>2467</v>
      </c>
      <c r="C25" s="3" t="s">
        <v>2366</v>
      </c>
      <c r="D25">
        <v>0</v>
      </c>
      <c r="E25">
        <v>13</v>
      </c>
      <c r="F25">
        <v>6</v>
      </c>
    </row>
    <row r="26" spans="2:7" x14ac:dyDescent="0.25">
      <c r="B26" s="4" t="s">
        <v>2367</v>
      </c>
      <c r="C26" s="3" t="s">
        <v>4310</v>
      </c>
      <c r="D26">
        <v>10</v>
      </c>
      <c r="E26">
        <v>300</v>
      </c>
      <c r="F26">
        <v>180</v>
      </c>
    </row>
    <row r="27" spans="2:7" x14ac:dyDescent="0.25">
      <c r="B27" s="4">
        <v>2441</v>
      </c>
      <c r="D27">
        <v>80</v>
      </c>
      <c r="E27">
        <v>17</v>
      </c>
      <c r="F27">
        <v>8.5</v>
      </c>
    </row>
    <row r="28" spans="2:7" x14ac:dyDescent="0.25">
      <c r="B28" s="4">
        <v>1267</v>
      </c>
      <c r="D28">
        <v>150</v>
      </c>
      <c r="E28">
        <v>13</v>
      </c>
      <c r="F28">
        <v>5.6</v>
      </c>
    </row>
    <row r="29" spans="2:7" x14ac:dyDescent="0.25">
      <c r="B29" s="4" t="s">
        <v>2369</v>
      </c>
      <c r="D29">
        <v>0</v>
      </c>
      <c r="E29">
        <v>12</v>
      </c>
      <c r="F29">
        <v>5.4</v>
      </c>
    </row>
    <row r="30" spans="2:7" s="3" customFormat="1" x14ac:dyDescent="0.25">
      <c r="B30" s="4" t="s">
        <v>3220</v>
      </c>
      <c r="D30" s="3">
        <v>0</v>
      </c>
      <c r="E30" s="3">
        <v>12</v>
      </c>
      <c r="F30" s="3">
        <v>5.4</v>
      </c>
    </row>
    <row r="31" spans="2:7" x14ac:dyDescent="0.25">
      <c r="B31" s="4" t="s">
        <v>3872</v>
      </c>
      <c r="D31">
        <v>0</v>
      </c>
      <c r="F31">
        <v>3.5</v>
      </c>
    </row>
    <row r="32" spans="2:7" s="3" customFormat="1" x14ac:dyDescent="0.25">
      <c r="B32" s="4" t="s">
        <v>3873</v>
      </c>
      <c r="D32" s="3">
        <v>0</v>
      </c>
      <c r="F32" s="3">
        <v>5</v>
      </c>
    </row>
    <row r="33" spans="2:7" x14ac:dyDescent="0.25">
      <c r="B33" s="4">
        <v>584</v>
      </c>
      <c r="C33" s="3" t="s">
        <v>2788</v>
      </c>
      <c r="D33">
        <v>10</v>
      </c>
      <c r="F33">
        <v>40</v>
      </c>
    </row>
    <row r="34" spans="2:7" x14ac:dyDescent="0.25">
      <c r="B34" s="4">
        <v>592</v>
      </c>
      <c r="C34" s="3" t="s">
        <v>1384</v>
      </c>
      <c r="D34">
        <v>0</v>
      </c>
      <c r="E34">
        <v>125</v>
      </c>
      <c r="F34" s="76">
        <v>55</v>
      </c>
      <c r="G34">
        <v>52</v>
      </c>
    </row>
    <row r="35" spans="2:7" x14ac:dyDescent="0.25">
      <c r="B35" s="4">
        <v>7596</v>
      </c>
      <c r="C35" s="3" t="s">
        <v>2446</v>
      </c>
      <c r="D35">
        <v>0</v>
      </c>
      <c r="E35">
        <v>200</v>
      </c>
      <c r="F35" s="76">
        <v>76</v>
      </c>
      <c r="G35">
        <v>72</v>
      </c>
    </row>
    <row r="36" spans="2:7" x14ac:dyDescent="0.25">
      <c r="B36" s="4">
        <v>4442</v>
      </c>
      <c r="C36" s="3" t="s">
        <v>2814</v>
      </c>
      <c r="D36">
        <v>0</v>
      </c>
      <c r="F36">
        <v>95</v>
      </c>
    </row>
    <row r="37" spans="2:7" x14ac:dyDescent="0.25">
      <c r="B37" s="4">
        <v>889</v>
      </c>
      <c r="C37" s="3" t="s">
        <v>3283</v>
      </c>
      <c r="D37">
        <v>10</v>
      </c>
      <c r="E37">
        <v>170</v>
      </c>
      <c r="F37">
        <v>100</v>
      </c>
    </row>
    <row r="38" spans="2:7" x14ac:dyDescent="0.25">
      <c r="C38" s="3" t="s">
        <v>4157</v>
      </c>
      <c r="E38">
        <v>275</v>
      </c>
      <c r="F38">
        <v>156</v>
      </c>
      <c r="G38" s="3" t="s">
        <v>4158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F10"/>
  <sheetViews>
    <sheetView workbookViewId="0">
      <selection activeCell="C14" sqref="C14"/>
    </sheetView>
  </sheetViews>
  <sheetFormatPr defaultRowHeight="15" x14ac:dyDescent="0.25"/>
  <cols>
    <col min="2" max="2" width="16.42578125" customWidth="1"/>
    <col min="3" max="3" width="19.5703125" customWidth="1"/>
    <col min="4" max="4" width="11.28515625" style="3" customWidth="1"/>
  </cols>
  <sheetData>
    <row r="2" spans="2:6" x14ac:dyDescent="0.25">
      <c r="D2" s="3" t="s">
        <v>1312</v>
      </c>
      <c r="E2" s="3" t="s">
        <v>595</v>
      </c>
      <c r="F2" s="3" t="s">
        <v>722</v>
      </c>
    </row>
    <row r="3" spans="2:6" x14ac:dyDescent="0.25">
      <c r="B3" s="3" t="s">
        <v>2442</v>
      </c>
      <c r="C3" s="3" t="s">
        <v>2443</v>
      </c>
      <c r="D3" s="3">
        <v>60</v>
      </c>
      <c r="E3">
        <v>185</v>
      </c>
      <c r="F3">
        <v>103</v>
      </c>
    </row>
    <row r="4" spans="2:6" x14ac:dyDescent="0.25">
      <c r="B4" s="3" t="s">
        <v>2444</v>
      </c>
      <c r="C4" s="3" t="s">
        <v>2445</v>
      </c>
      <c r="D4" s="3">
        <v>40</v>
      </c>
      <c r="E4">
        <v>224</v>
      </c>
      <c r="F4">
        <v>123</v>
      </c>
    </row>
    <row r="5" spans="2:6" x14ac:dyDescent="0.25">
      <c r="B5">
        <v>1141</v>
      </c>
      <c r="D5" s="3">
        <v>0</v>
      </c>
      <c r="E5">
        <v>135</v>
      </c>
      <c r="F5">
        <v>77</v>
      </c>
    </row>
    <row r="6" spans="2:6" x14ac:dyDescent="0.25">
      <c r="B6">
        <v>2441</v>
      </c>
      <c r="D6" s="3">
        <v>85</v>
      </c>
      <c r="E6">
        <v>162</v>
      </c>
      <c r="F6">
        <v>94</v>
      </c>
    </row>
    <row r="7" spans="2:6" x14ac:dyDescent="0.25">
      <c r="B7">
        <v>1016</v>
      </c>
      <c r="D7" s="3">
        <v>0</v>
      </c>
      <c r="E7">
        <v>165</v>
      </c>
      <c r="F7">
        <v>96</v>
      </c>
    </row>
    <row r="8" spans="2:6" s="3" customFormat="1" x14ac:dyDescent="0.25">
      <c r="B8" s="3">
        <v>1176</v>
      </c>
      <c r="D8" s="3">
        <v>60</v>
      </c>
      <c r="E8" s="3">
        <v>165</v>
      </c>
      <c r="F8" s="3">
        <v>96</v>
      </c>
    </row>
    <row r="9" spans="2:6" x14ac:dyDescent="0.25">
      <c r="B9" s="3" t="s">
        <v>2760</v>
      </c>
      <c r="C9" s="3" t="s">
        <v>2761</v>
      </c>
      <c r="D9" s="3">
        <v>0</v>
      </c>
      <c r="E9">
        <v>98</v>
      </c>
      <c r="F9">
        <v>53</v>
      </c>
    </row>
    <row r="10" spans="2:6" x14ac:dyDescent="0.25">
      <c r="B10" s="3" t="s">
        <v>2762</v>
      </c>
      <c r="C10" s="3" t="s">
        <v>2763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81"/>
  <sheetViews>
    <sheetView topLeftCell="A46" zoomScale="90" zoomScaleNormal="90" workbookViewId="0">
      <selection activeCell="B54" sqref="B54"/>
    </sheetView>
  </sheetViews>
  <sheetFormatPr defaultRowHeight="15" x14ac:dyDescent="0.25"/>
  <cols>
    <col min="2" max="2" width="40.7109375" customWidth="1"/>
    <col min="3" max="3" width="10.42578125" style="3" customWidth="1"/>
    <col min="4" max="4" width="9.7109375" style="3" customWidth="1"/>
    <col min="5" max="5" width="7.7109375" customWidth="1"/>
  </cols>
  <sheetData>
    <row r="1" spans="1:5" ht="15.75" x14ac:dyDescent="0.25">
      <c r="A1" s="72" t="s">
        <v>592</v>
      </c>
      <c r="B1" s="72" t="s">
        <v>593</v>
      </c>
      <c r="C1" s="72" t="s">
        <v>2713</v>
      </c>
      <c r="D1" s="72" t="s">
        <v>2718</v>
      </c>
      <c r="E1" s="72" t="s">
        <v>2449</v>
      </c>
    </row>
    <row r="2" spans="1:5" ht="15.75" x14ac:dyDescent="0.25">
      <c r="A2" s="48">
        <v>1</v>
      </c>
      <c r="B2" s="48" t="s">
        <v>2450</v>
      </c>
      <c r="C2" s="48">
        <v>267</v>
      </c>
      <c r="D2" s="48">
        <v>361</v>
      </c>
      <c r="E2" s="48">
        <v>20</v>
      </c>
    </row>
    <row r="3" spans="1:5" ht="15.75" x14ac:dyDescent="0.25">
      <c r="A3" s="48">
        <v>2</v>
      </c>
      <c r="B3" s="48" t="s">
        <v>2451</v>
      </c>
      <c r="C3" s="48">
        <v>325</v>
      </c>
      <c r="D3" s="48">
        <v>380</v>
      </c>
      <c r="E3" s="48">
        <v>20</v>
      </c>
    </row>
    <row r="4" spans="1:5" s="3" customFormat="1" ht="15.75" x14ac:dyDescent="0.25">
      <c r="A4" s="48">
        <v>3</v>
      </c>
      <c r="B4" s="48" t="s">
        <v>2714</v>
      </c>
      <c r="C4" s="48">
        <v>44</v>
      </c>
      <c r="D4" s="48">
        <v>403</v>
      </c>
      <c r="E4" s="48">
        <v>12</v>
      </c>
    </row>
    <row r="5" spans="1:5" s="3" customFormat="1" ht="15.75" x14ac:dyDescent="0.25">
      <c r="A5" s="48">
        <v>4</v>
      </c>
      <c r="B5" s="48" t="s">
        <v>2715</v>
      </c>
      <c r="C5" s="48">
        <v>400</v>
      </c>
      <c r="D5" s="48">
        <v>318</v>
      </c>
      <c r="E5" s="48">
        <v>20</v>
      </c>
    </row>
    <row r="6" spans="1:5" s="3" customFormat="1" ht="15.75" x14ac:dyDescent="0.25">
      <c r="A6" s="48">
        <v>5</v>
      </c>
      <c r="B6" s="48" t="s">
        <v>2716</v>
      </c>
      <c r="C6" s="48">
        <v>10</v>
      </c>
      <c r="D6" s="48">
        <v>347</v>
      </c>
      <c r="E6" s="48">
        <v>20</v>
      </c>
    </row>
    <row r="7" spans="1:5" s="3" customFormat="1" ht="15.75" x14ac:dyDescent="0.25">
      <c r="A7" s="48"/>
      <c r="B7" s="48" t="s">
        <v>3005</v>
      </c>
      <c r="C7" s="48">
        <v>20</v>
      </c>
      <c r="D7" s="48"/>
      <c r="E7" s="48"/>
    </row>
    <row r="8" spans="1:5" s="3" customFormat="1" ht="15.75" x14ac:dyDescent="0.25">
      <c r="A8" s="48"/>
      <c r="B8" s="48" t="s">
        <v>3006</v>
      </c>
      <c r="C8" s="48">
        <v>40</v>
      </c>
      <c r="D8" s="48"/>
      <c r="E8" s="48"/>
    </row>
    <row r="9" spans="1:5" ht="15.75" x14ac:dyDescent="0.25">
      <c r="A9" s="48">
        <v>6</v>
      </c>
      <c r="B9" s="48" t="s">
        <v>2452</v>
      </c>
      <c r="C9" s="48">
        <v>37</v>
      </c>
      <c r="D9" s="48">
        <v>309</v>
      </c>
      <c r="E9" s="48">
        <v>24</v>
      </c>
    </row>
    <row r="10" spans="1:5" ht="15.75" x14ac:dyDescent="0.25">
      <c r="A10" s="48">
        <v>7</v>
      </c>
      <c r="B10" s="48" t="s">
        <v>2453</v>
      </c>
      <c r="C10" s="48">
        <v>16</v>
      </c>
      <c r="D10" s="48">
        <v>2086</v>
      </c>
      <c r="E10" s="48">
        <v>4</v>
      </c>
    </row>
    <row r="11" spans="1:5" ht="15.75" x14ac:dyDescent="0.25">
      <c r="A11" s="48">
        <v>8</v>
      </c>
      <c r="B11" s="48" t="s">
        <v>2454</v>
      </c>
      <c r="C11" s="48">
        <v>3</v>
      </c>
      <c r="D11" s="48">
        <v>2545</v>
      </c>
      <c r="E11" s="48">
        <v>4</v>
      </c>
    </row>
    <row r="12" spans="1:5" s="3" customFormat="1" ht="15.75" x14ac:dyDescent="0.25">
      <c r="A12" s="48"/>
      <c r="B12" s="48" t="s">
        <v>3208</v>
      </c>
      <c r="C12" s="48">
        <v>8</v>
      </c>
      <c r="D12" s="48"/>
      <c r="E12" s="48">
        <v>4</v>
      </c>
    </row>
    <row r="13" spans="1:5" s="3" customFormat="1" ht="15.75" x14ac:dyDescent="0.25">
      <c r="A13" s="48"/>
      <c r="B13" s="48" t="s">
        <v>3015</v>
      </c>
      <c r="C13" s="48">
        <v>15</v>
      </c>
      <c r="D13" s="48"/>
      <c r="E13" s="48">
        <v>4</v>
      </c>
    </row>
    <row r="14" spans="1:5" s="3" customFormat="1" ht="15.75" x14ac:dyDescent="0.25">
      <c r="A14" s="48"/>
      <c r="B14" s="48" t="s">
        <v>3003</v>
      </c>
      <c r="C14" s="48">
        <v>24</v>
      </c>
      <c r="D14" s="48">
        <v>2122</v>
      </c>
      <c r="E14" s="48">
        <v>6</v>
      </c>
    </row>
    <row r="15" spans="1:5" s="3" customFormat="1" ht="15.75" x14ac:dyDescent="0.25">
      <c r="A15" s="48"/>
      <c r="B15" s="48" t="s">
        <v>3004</v>
      </c>
      <c r="C15" s="48">
        <v>16</v>
      </c>
      <c r="D15" s="48">
        <v>1893</v>
      </c>
      <c r="E15" s="48"/>
    </row>
    <row r="16" spans="1:5" s="3" customFormat="1" ht="15.75" x14ac:dyDescent="0.25">
      <c r="A16" s="48">
        <v>9</v>
      </c>
      <c r="B16" s="48" t="s">
        <v>2497</v>
      </c>
      <c r="C16" s="48">
        <v>8</v>
      </c>
      <c r="D16" s="48">
        <v>941</v>
      </c>
      <c r="E16" s="48">
        <v>12</v>
      </c>
    </row>
    <row r="17" spans="1:5" s="3" customFormat="1" ht="15.75" x14ac:dyDescent="0.25">
      <c r="A17" s="48"/>
      <c r="B17" s="48" t="s">
        <v>3001</v>
      </c>
      <c r="C17" s="48">
        <v>3</v>
      </c>
      <c r="D17" s="48">
        <v>4300</v>
      </c>
      <c r="E17" s="48"/>
    </row>
    <row r="18" spans="1:5" s="3" customFormat="1" ht="15.75" x14ac:dyDescent="0.25">
      <c r="A18" s="48"/>
      <c r="B18" s="48" t="s">
        <v>3002</v>
      </c>
      <c r="C18" s="48">
        <v>4</v>
      </c>
      <c r="D18" s="48">
        <v>3794</v>
      </c>
      <c r="E18" s="48"/>
    </row>
    <row r="19" spans="1:5" s="3" customFormat="1" ht="15.75" x14ac:dyDescent="0.25">
      <c r="A19" s="48"/>
      <c r="B19" s="48" t="s">
        <v>3207</v>
      </c>
      <c r="C19" s="48">
        <v>20</v>
      </c>
      <c r="D19" s="48">
        <v>430</v>
      </c>
      <c r="E19" s="48"/>
    </row>
    <row r="20" spans="1:5" s="3" customFormat="1" ht="15.75" x14ac:dyDescent="0.25">
      <c r="A20" s="48"/>
      <c r="B20" s="48" t="s">
        <v>2784</v>
      </c>
      <c r="C20" s="48">
        <v>38</v>
      </c>
      <c r="D20" s="48">
        <v>456</v>
      </c>
      <c r="E20" s="48">
        <v>12</v>
      </c>
    </row>
    <row r="21" spans="1:5" ht="15.75" x14ac:dyDescent="0.25">
      <c r="A21" s="48">
        <v>10</v>
      </c>
      <c r="B21" s="48" t="s">
        <v>2754</v>
      </c>
      <c r="C21" s="48">
        <v>116</v>
      </c>
      <c r="D21" s="48">
        <v>308</v>
      </c>
      <c r="E21" s="48">
        <v>12</v>
      </c>
    </row>
    <row r="22" spans="1:5" ht="15.75" x14ac:dyDescent="0.25">
      <c r="A22" s="48">
        <v>11</v>
      </c>
      <c r="B22" s="48" t="s">
        <v>2755</v>
      </c>
      <c r="C22" s="48">
        <v>19</v>
      </c>
      <c r="D22" s="48">
        <v>1002</v>
      </c>
      <c r="E22" s="48">
        <v>6</v>
      </c>
    </row>
    <row r="23" spans="1:5" ht="15.75" x14ac:dyDescent="0.25">
      <c r="A23" s="48">
        <v>12</v>
      </c>
      <c r="B23" s="48" t="s">
        <v>3265</v>
      </c>
      <c r="C23" s="48">
        <v>5</v>
      </c>
      <c r="D23" s="48">
        <v>364</v>
      </c>
      <c r="E23" s="48">
        <v>12</v>
      </c>
    </row>
    <row r="24" spans="1:5" ht="15.75" x14ac:dyDescent="0.25">
      <c r="A24" s="48">
        <v>13</v>
      </c>
      <c r="B24" s="48" t="s">
        <v>3188</v>
      </c>
      <c r="C24" s="48">
        <v>8</v>
      </c>
      <c r="D24" s="48">
        <v>1952</v>
      </c>
      <c r="E24" s="48">
        <v>1</v>
      </c>
    </row>
    <row r="25" spans="1:5" ht="15.75" x14ac:dyDescent="0.25">
      <c r="A25" s="48">
        <v>14</v>
      </c>
      <c r="B25" s="48" t="s">
        <v>3187</v>
      </c>
      <c r="C25" s="48">
        <v>13</v>
      </c>
      <c r="D25" s="48">
        <v>2450</v>
      </c>
      <c r="E25" s="48">
        <v>1</v>
      </c>
    </row>
    <row r="26" spans="1:5" ht="15.75" x14ac:dyDescent="0.25">
      <c r="A26" s="48">
        <v>15</v>
      </c>
      <c r="B26" s="48" t="s">
        <v>3838</v>
      </c>
      <c r="C26" s="48">
        <v>5</v>
      </c>
      <c r="D26" s="48">
        <v>2765</v>
      </c>
      <c r="E26" s="48">
        <v>1</v>
      </c>
    </row>
    <row r="27" spans="1:5" ht="15.75" x14ac:dyDescent="0.25">
      <c r="A27" s="48">
        <v>16</v>
      </c>
      <c r="B27" s="48" t="s">
        <v>3839</v>
      </c>
      <c r="C27" s="48">
        <v>10</v>
      </c>
      <c r="D27" s="48">
        <v>3265</v>
      </c>
      <c r="E27" s="48">
        <v>1</v>
      </c>
    </row>
    <row r="28" spans="1:5" ht="15.75" x14ac:dyDescent="0.25">
      <c r="A28" s="48">
        <v>17</v>
      </c>
      <c r="B28" s="48" t="s">
        <v>2455</v>
      </c>
      <c r="C28" s="48">
        <v>2</v>
      </c>
      <c r="D28" s="48">
        <v>5879</v>
      </c>
      <c r="E28" s="48">
        <v>1</v>
      </c>
    </row>
    <row r="29" spans="1:5" ht="15.75" x14ac:dyDescent="0.25">
      <c r="A29" s="48">
        <v>18</v>
      </c>
      <c r="B29" s="48" t="s">
        <v>2456</v>
      </c>
      <c r="C29" s="48">
        <v>12</v>
      </c>
      <c r="D29" s="48">
        <v>408</v>
      </c>
      <c r="E29" s="48">
        <v>20</v>
      </c>
    </row>
    <row r="30" spans="1:5" ht="15.75" x14ac:dyDescent="0.25">
      <c r="A30" s="48">
        <v>19</v>
      </c>
      <c r="B30" s="48" t="s">
        <v>2457</v>
      </c>
      <c r="C30" s="48">
        <v>13</v>
      </c>
      <c r="D30" s="48">
        <v>1085</v>
      </c>
      <c r="E30" s="48">
        <v>6</v>
      </c>
    </row>
    <row r="31" spans="1:5" ht="15.75" x14ac:dyDescent="0.25">
      <c r="A31" s="48">
        <v>20</v>
      </c>
      <c r="B31" s="48" t="s">
        <v>2458</v>
      </c>
      <c r="C31" s="48">
        <v>7</v>
      </c>
      <c r="D31" s="48">
        <v>1586</v>
      </c>
      <c r="E31" s="48">
        <v>6</v>
      </c>
    </row>
    <row r="32" spans="1:5" s="3" customFormat="1" ht="15.75" x14ac:dyDescent="0.25">
      <c r="A32" s="48">
        <v>21</v>
      </c>
      <c r="B32" s="48" t="s">
        <v>2759</v>
      </c>
      <c r="C32" s="48">
        <v>11</v>
      </c>
      <c r="D32" s="48">
        <v>2539</v>
      </c>
      <c r="E32" s="48"/>
    </row>
    <row r="33" spans="1:7" ht="15.75" x14ac:dyDescent="0.25">
      <c r="A33" s="48">
        <v>22</v>
      </c>
      <c r="B33" s="48" t="s">
        <v>2459</v>
      </c>
      <c r="C33" s="48">
        <v>23</v>
      </c>
      <c r="D33" s="48">
        <v>2651</v>
      </c>
      <c r="E33" s="48">
        <v>1</v>
      </c>
    </row>
    <row r="34" spans="1:7" ht="15.75" x14ac:dyDescent="0.25">
      <c r="A34" s="48">
        <v>23</v>
      </c>
      <c r="B34" s="48" t="s">
        <v>2460</v>
      </c>
      <c r="C34" s="48">
        <v>9</v>
      </c>
      <c r="D34" s="48">
        <v>2973</v>
      </c>
      <c r="E34" s="48">
        <v>1</v>
      </c>
    </row>
    <row r="35" spans="1:7" ht="15.75" x14ac:dyDescent="0.25">
      <c r="A35" s="48">
        <v>24</v>
      </c>
      <c r="B35" s="48" t="s">
        <v>2461</v>
      </c>
      <c r="C35" s="48">
        <v>41</v>
      </c>
      <c r="D35" s="48">
        <v>3490</v>
      </c>
      <c r="E35" s="48">
        <v>1</v>
      </c>
    </row>
    <row r="36" spans="1:7" ht="15.75" x14ac:dyDescent="0.25">
      <c r="A36" s="48">
        <v>25</v>
      </c>
      <c r="B36" s="48" t="s">
        <v>2462</v>
      </c>
      <c r="C36" s="48">
        <v>2</v>
      </c>
      <c r="D36" s="48">
        <v>5268</v>
      </c>
      <c r="E36" s="48">
        <v>1</v>
      </c>
    </row>
    <row r="37" spans="1:7" ht="15.75" x14ac:dyDescent="0.25">
      <c r="A37" s="48">
        <v>26</v>
      </c>
      <c r="B37" s="48" t="s">
        <v>2463</v>
      </c>
      <c r="C37" s="48">
        <v>12</v>
      </c>
      <c r="D37" s="48">
        <v>402</v>
      </c>
      <c r="E37" s="48">
        <v>12</v>
      </c>
    </row>
    <row r="38" spans="1:7" ht="15.75" x14ac:dyDescent="0.25">
      <c r="A38" s="48">
        <v>27</v>
      </c>
      <c r="B38" s="48" t="s">
        <v>2464</v>
      </c>
      <c r="C38" s="48">
        <v>10</v>
      </c>
      <c r="D38" s="48">
        <v>2079</v>
      </c>
      <c r="E38" s="48">
        <v>4</v>
      </c>
    </row>
    <row r="39" spans="1:7" ht="15.75" x14ac:dyDescent="0.25">
      <c r="A39" s="48">
        <v>28</v>
      </c>
      <c r="B39" s="48" t="s">
        <v>2465</v>
      </c>
      <c r="C39" s="48">
        <v>6</v>
      </c>
      <c r="D39" s="48">
        <v>3119</v>
      </c>
      <c r="E39" s="48">
        <v>1</v>
      </c>
    </row>
    <row r="40" spans="1:7" ht="15.75" x14ac:dyDescent="0.25">
      <c r="A40" s="48">
        <v>29</v>
      </c>
      <c r="B40" s="48" t="s">
        <v>2466</v>
      </c>
      <c r="C40" s="48">
        <v>3</v>
      </c>
      <c r="D40" s="48">
        <v>4203</v>
      </c>
      <c r="E40" s="48">
        <v>1</v>
      </c>
    </row>
    <row r="41" spans="1:7" s="3" customFormat="1" ht="15.75" x14ac:dyDescent="0.25">
      <c r="A41" s="48">
        <v>30</v>
      </c>
      <c r="B41" s="48" t="s">
        <v>2717</v>
      </c>
      <c r="C41" s="48">
        <v>2</v>
      </c>
      <c r="D41" s="48">
        <v>5516</v>
      </c>
      <c r="E41" s="48">
        <v>1</v>
      </c>
    </row>
    <row r="42" spans="1:7" ht="15.75" x14ac:dyDescent="0.25">
      <c r="A42" s="48">
        <v>31</v>
      </c>
      <c r="B42" s="48" t="s">
        <v>2467</v>
      </c>
      <c r="C42" s="48">
        <v>131</v>
      </c>
      <c r="D42" s="48">
        <v>1756</v>
      </c>
      <c r="E42" s="48">
        <v>0</v>
      </c>
      <c r="F42" s="48" t="s">
        <v>4002</v>
      </c>
      <c r="G42" s="3" t="s">
        <v>4004</v>
      </c>
    </row>
    <row r="43" spans="1:7" ht="15.75" x14ac:dyDescent="0.25">
      <c r="A43" s="48">
        <v>32</v>
      </c>
      <c r="B43" s="48" t="s">
        <v>2468</v>
      </c>
      <c r="C43" s="48">
        <v>14</v>
      </c>
      <c r="D43" s="48">
        <v>2892</v>
      </c>
      <c r="E43" s="48">
        <v>1</v>
      </c>
      <c r="G43" s="3" t="s">
        <v>4003</v>
      </c>
    </row>
    <row r="44" spans="1:7" ht="15.75" x14ac:dyDescent="0.25">
      <c r="A44" s="48">
        <v>33</v>
      </c>
      <c r="B44" s="48" t="s">
        <v>2469</v>
      </c>
      <c r="C44" s="48">
        <v>3</v>
      </c>
      <c r="D44" s="48">
        <v>5723</v>
      </c>
      <c r="E44" s="48">
        <v>1</v>
      </c>
      <c r="G44" s="3" t="s">
        <v>4005</v>
      </c>
    </row>
    <row r="45" spans="1:7" s="3" customFormat="1" ht="15.75" x14ac:dyDescent="0.25">
      <c r="A45" s="48"/>
      <c r="B45" s="48" t="s">
        <v>3984</v>
      </c>
      <c r="C45" s="48">
        <v>10</v>
      </c>
      <c r="D45" s="48"/>
      <c r="E45" s="48"/>
      <c r="G45" s="3" t="s">
        <v>4006</v>
      </c>
    </row>
    <row r="46" spans="1:7" ht="15.75" x14ac:dyDescent="0.25">
      <c r="A46" s="48">
        <v>34</v>
      </c>
      <c r="B46" s="48" t="s">
        <v>2470</v>
      </c>
      <c r="C46" s="48">
        <v>0</v>
      </c>
      <c r="D46" s="48">
        <v>345</v>
      </c>
      <c r="E46" s="48">
        <v>20</v>
      </c>
    </row>
    <row r="47" spans="1:7" ht="15.75" x14ac:dyDescent="0.25">
      <c r="A47" s="48">
        <v>35</v>
      </c>
      <c r="B47" s="48" t="s">
        <v>2471</v>
      </c>
      <c r="C47" s="48">
        <v>18</v>
      </c>
      <c r="D47" s="48">
        <v>1558</v>
      </c>
      <c r="E47" s="48">
        <v>0</v>
      </c>
      <c r="F47" s="48">
        <v>4</v>
      </c>
    </row>
    <row r="48" spans="1:7" ht="15.75" x14ac:dyDescent="0.25">
      <c r="A48" s="48">
        <v>36</v>
      </c>
      <c r="B48" s="48" t="s">
        <v>2472</v>
      </c>
      <c r="C48" s="48">
        <v>3</v>
      </c>
      <c r="D48" s="48">
        <v>6105</v>
      </c>
      <c r="E48" s="48">
        <v>1</v>
      </c>
    </row>
    <row r="49" spans="1:5" ht="15.75" x14ac:dyDescent="0.25">
      <c r="A49" s="48">
        <v>37</v>
      </c>
      <c r="B49" s="48" t="s">
        <v>2473</v>
      </c>
      <c r="C49" s="48">
        <v>10</v>
      </c>
      <c r="D49" s="48"/>
      <c r="E49" s="48">
        <v>1</v>
      </c>
    </row>
    <row r="50" spans="1:5" s="3" customFormat="1" ht="15.75" x14ac:dyDescent="0.25">
      <c r="A50" s="48">
        <v>38</v>
      </c>
      <c r="B50" s="48" t="s">
        <v>2498</v>
      </c>
      <c r="C50" s="48">
        <v>37</v>
      </c>
      <c r="D50" s="48">
        <v>343</v>
      </c>
      <c r="E50" s="48">
        <v>20</v>
      </c>
    </row>
    <row r="51" spans="1:5" s="3" customFormat="1" ht="15.75" x14ac:dyDescent="0.25">
      <c r="A51" s="48">
        <v>39</v>
      </c>
      <c r="B51" s="48" t="s">
        <v>2499</v>
      </c>
      <c r="C51" s="48">
        <v>8</v>
      </c>
      <c r="D51" s="48">
        <v>1635</v>
      </c>
      <c r="E51" s="48">
        <v>4</v>
      </c>
    </row>
    <row r="52" spans="1:5" s="3" customFormat="1" ht="15.75" x14ac:dyDescent="0.25">
      <c r="A52" s="48">
        <v>40</v>
      </c>
      <c r="B52" s="48" t="s">
        <v>2500</v>
      </c>
      <c r="C52" s="48"/>
      <c r="D52" s="48"/>
      <c r="E52" s="48">
        <v>1</v>
      </c>
    </row>
    <row r="53" spans="1:5" ht="15.75" x14ac:dyDescent="0.25">
      <c r="A53" s="48">
        <v>41</v>
      </c>
      <c r="B53" s="48" t="s">
        <v>2474</v>
      </c>
      <c r="C53" s="48">
        <v>1</v>
      </c>
      <c r="D53" s="48">
        <v>363</v>
      </c>
      <c r="E53" s="48">
        <v>12</v>
      </c>
    </row>
    <row r="54" spans="1:5" ht="15.75" x14ac:dyDescent="0.25">
      <c r="A54" s="48">
        <v>42</v>
      </c>
      <c r="B54" s="48" t="s">
        <v>2475</v>
      </c>
      <c r="C54" s="48">
        <v>17</v>
      </c>
      <c r="D54" s="48"/>
      <c r="E54" s="48">
        <v>6</v>
      </c>
    </row>
    <row r="55" spans="1:5" ht="15.75" x14ac:dyDescent="0.25">
      <c r="A55" s="48">
        <v>43</v>
      </c>
      <c r="B55" s="48" t="s">
        <v>2476</v>
      </c>
      <c r="C55" s="48">
        <v>0</v>
      </c>
      <c r="D55" s="48">
        <v>374</v>
      </c>
      <c r="E55" s="48">
        <v>20</v>
      </c>
    </row>
    <row r="56" spans="1:5" ht="15.75" x14ac:dyDescent="0.25">
      <c r="A56" s="48">
        <v>44</v>
      </c>
      <c r="B56" s="48" t="s">
        <v>2477</v>
      </c>
      <c r="C56" s="48">
        <v>3</v>
      </c>
      <c r="D56" s="48"/>
      <c r="E56" s="48">
        <v>6</v>
      </c>
    </row>
    <row r="57" spans="1:5" s="3" customFormat="1" ht="15.75" x14ac:dyDescent="0.25">
      <c r="A57" s="48"/>
      <c r="B57" s="48" t="s">
        <v>3597</v>
      </c>
      <c r="C57" s="48">
        <v>12</v>
      </c>
      <c r="D57" s="48"/>
      <c r="E57" s="48">
        <v>6</v>
      </c>
    </row>
    <row r="58" spans="1:5" ht="15.75" x14ac:dyDescent="0.25">
      <c r="A58" s="48">
        <v>45</v>
      </c>
      <c r="B58" s="48" t="s">
        <v>2478</v>
      </c>
      <c r="C58" s="48">
        <v>12</v>
      </c>
      <c r="D58" s="48">
        <v>1800</v>
      </c>
      <c r="E58" s="48">
        <v>6</v>
      </c>
    </row>
    <row r="59" spans="1:5" ht="15.75" x14ac:dyDescent="0.25">
      <c r="A59" s="48">
        <v>46</v>
      </c>
      <c r="B59" s="48" t="s">
        <v>2479</v>
      </c>
      <c r="C59" s="48">
        <v>0</v>
      </c>
      <c r="D59" s="48">
        <v>5985</v>
      </c>
      <c r="E59" s="48">
        <v>1</v>
      </c>
    </row>
    <row r="60" spans="1:5" s="3" customFormat="1" ht="15.75" x14ac:dyDescent="0.25">
      <c r="A60" s="48"/>
      <c r="B60" s="48" t="s">
        <v>3023</v>
      </c>
      <c r="C60" s="48">
        <v>47</v>
      </c>
      <c r="D60" s="48"/>
      <c r="E60" s="48"/>
    </row>
    <row r="61" spans="1:5" s="3" customFormat="1" ht="15.75" x14ac:dyDescent="0.25">
      <c r="A61" s="48"/>
      <c r="B61" s="48" t="s">
        <v>3024</v>
      </c>
      <c r="C61" s="48">
        <v>3</v>
      </c>
      <c r="D61" s="48"/>
      <c r="E61" s="48"/>
    </row>
    <row r="62" spans="1:5" s="3" customFormat="1" ht="15.75" x14ac:dyDescent="0.25">
      <c r="A62" s="48"/>
      <c r="B62" s="48" t="s">
        <v>2866</v>
      </c>
      <c r="C62" s="48">
        <v>8</v>
      </c>
      <c r="D62" s="48">
        <v>1806</v>
      </c>
      <c r="E62" s="48"/>
    </row>
    <row r="63" spans="1:5" s="3" customFormat="1" ht="15.75" x14ac:dyDescent="0.25">
      <c r="A63" s="48"/>
      <c r="B63" s="48" t="s">
        <v>2867</v>
      </c>
      <c r="C63" s="48">
        <v>1</v>
      </c>
      <c r="D63" s="48">
        <v>6001</v>
      </c>
      <c r="E63" s="48"/>
    </row>
    <row r="64" spans="1:5" ht="15.75" x14ac:dyDescent="0.25">
      <c r="A64" s="48">
        <v>47</v>
      </c>
      <c r="B64" s="3" t="s">
        <v>2501</v>
      </c>
      <c r="C64" s="48">
        <v>22</v>
      </c>
      <c r="D64" s="48"/>
      <c r="E64" s="48">
        <v>12</v>
      </c>
    </row>
    <row r="65" spans="1:7" ht="15.75" x14ac:dyDescent="0.25">
      <c r="A65" s="48">
        <v>48</v>
      </c>
      <c r="B65" s="48" t="s">
        <v>2502</v>
      </c>
      <c r="C65" s="48">
        <v>242</v>
      </c>
      <c r="D65" s="48"/>
      <c r="E65" s="48">
        <v>0</v>
      </c>
      <c r="F65" s="48">
        <v>4</v>
      </c>
    </row>
    <row r="66" spans="1:7" ht="15.75" x14ac:dyDescent="0.25">
      <c r="A66" s="48">
        <v>49</v>
      </c>
      <c r="B66" s="48" t="s">
        <v>2503</v>
      </c>
      <c r="C66" s="48">
        <v>2</v>
      </c>
      <c r="D66" s="48">
        <v>3793</v>
      </c>
    </row>
    <row r="67" spans="1:7" ht="15.75" x14ac:dyDescent="0.25">
      <c r="A67" s="48">
        <v>50</v>
      </c>
      <c r="B67" s="48" t="s">
        <v>2504</v>
      </c>
      <c r="C67" s="48">
        <v>6</v>
      </c>
      <c r="G67">
        <v>3050</v>
      </c>
    </row>
    <row r="69" spans="1:7" ht="15.75" x14ac:dyDescent="0.25">
      <c r="B69" s="48" t="s">
        <v>3148</v>
      </c>
      <c r="C69" s="48">
        <v>8</v>
      </c>
      <c r="D69" s="48">
        <v>2201</v>
      </c>
      <c r="E69">
        <v>1</v>
      </c>
      <c r="F69" s="48">
        <v>1550</v>
      </c>
    </row>
    <row r="70" spans="1:7" s="3" customFormat="1" ht="15.75" x14ac:dyDescent="0.25">
      <c r="B70" s="48" t="s">
        <v>3282</v>
      </c>
      <c r="C70" s="48">
        <v>9</v>
      </c>
      <c r="F70" s="3">
        <v>207</v>
      </c>
    </row>
    <row r="71" spans="1:7" ht="15.75" x14ac:dyDescent="0.25">
      <c r="B71" s="48" t="s">
        <v>3149</v>
      </c>
      <c r="C71" s="48">
        <v>84</v>
      </c>
      <c r="D71" s="48">
        <v>831</v>
      </c>
      <c r="E71">
        <v>6</v>
      </c>
      <c r="F71" s="48">
        <v>592</v>
      </c>
    </row>
    <row r="72" spans="1:7" ht="15.75" x14ac:dyDescent="0.25">
      <c r="B72" s="48" t="s">
        <v>3150</v>
      </c>
      <c r="C72" s="48">
        <v>0</v>
      </c>
      <c r="D72" s="48">
        <v>2050</v>
      </c>
      <c r="E72">
        <v>1</v>
      </c>
      <c r="F72" s="48">
        <v>1395</v>
      </c>
    </row>
    <row r="73" spans="1:7" ht="15.75" x14ac:dyDescent="0.25">
      <c r="B73" s="48" t="s">
        <v>3151</v>
      </c>
      <c r="C73" s="48">
        <v>20</v>
      </c>
      <c r="D73" s="48">
        <v>2696</v>
      </c>
      <c r="E73">
        <v>1</v>
      </c>
      <c r="F73" s="48">
        <v>1834</v>
      </c>
    </row>
    <row r="76" spans="1:7" ht="15.75" x14ac:dyDescent="0.25">
      <c r="B76" s="48" t="s">
        <v>3879</v>
      </c>
    </row>
    <row r="78" spans="1:7" x14ac:dyDescent="0.25">
      <c r="B78" s="3" t="s">
        <v>3881</v>
      </c>
      <c r="C78" s="3">
        <v>18</v>
      </c>
      <c r="D78" s="3">
        <v>1462</v>
      </c>
    </row>
    <row r="79" spans="1:7" x14ac:dyDescent="0.25">
      <c r="B79" s="3" t="s">
        <v>3880</v>
      </c>
      <c r="C79" s="3">
        <v>30</v>
      </c>
      <c r="D79" s="3">
        <v>1374</v>
      </c>
    </row>
    <row r="80" spans="1:7" x14ac:dyDescent="0.25">
      <c r="B80" s="3" t="s">
        <v>3882</v>
      </c>
      <c r="C80" s="3">
        <v>1</v>
      </c>
      <c r="D80" s="3">
        <v>1828</v>
      </c>
    </row>
    <row r="81" spans="2:4" x14ac:dyDescent="0.25">
      <c r="B81" s="3" t="s">
        <v>3883</v>
      </c>
      <c r="C81" s="3">
        <v>80</v>
      </c>
      <c r="D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314"/>
  <sheetViews>
    <sheetView topLeftCell="B6" workbookViewId="0">
      <selection activeCell="B15" sqref="B15"/>
    </sheetView>
  </sheetViews>
  <sheetFormatPr defaultRowHeight="15" x14ac:dyDescent="0.25"/>
  <cols>
    <col min="2" max="2" width="43.140625" bestFit="1" customWidth="1"/>
    <col min="3" max="3" width="15.7109375" style="4" customWidth="1"/>
    <col min="4" max="4" width="11.28515625" style="3" customWidth="1"/>
    <col min="5" max="5" width="12" style="70" customWidth="1"/>
    <col min="6" max="6" width="12" style="3" customWidth="1"/>
  </cols>
  <sheetData>
    <row r="1" spans="1:8" x14ac:dyDescent="0.25">
      <c r="A1" s="3" t="s">
        <v>592</v>
      </c>
      <c r="B1" s="3" t="s">
        <v>593</v>
      </c>
      <c r="C1" s="4" t="s">
        <v>449</v>
      </c>
      <c r="E1" s="70" t="s">
        <v>2530</v>
      </c>
      <c r="G1" s="3" t="s">
        <v>2531</v>
      </c>
    </row>
    <row r="2" spans="1:8" s="3" customFormat="1" x14ac:dyDescent="0.25">
      <c r="C2" s="4"/>
      <c r="E2" s="70"/>
    </row>
    <row r="3" spans="1:8" s="3" customFormat="1" ht="18" x14ac:dyDescent="0.25">
      <c r="B3" s="66" t="s">
        <v>2703</v>
      </c>
      <c r="C3" s="4"/>
      <c r="E3" s="70"/>
    </row>
    <row r="4" spans="1:8" s="3" customFormat="1" x14ac:dyDescent="0.25">
      <c r="C4" s="4"/>
      <c r="E4" s="70"/>
    </row>
    <row r="5" spans="1:8" x14ac:dyDescent="0.25">
      <c r="A5">
        <v>1</v>
      </c>
      <c r="B5" s="3" t="s">
        <v>2532</v>
      </c>
      <c r="C5" s="4" t="s">
        <v>2590</v>
      </c>
      <c r="D5" s="3">
        <v>7</v>
      </c>
      <c r="E5" s="70">
        <v>2346</v>
      </c>
      <c r="F5" s="3">
        <v>2353</v>
      </c>
      <c r="H5">
        <f>D5*E5</f>
        <v>16422</v>
      </c>
    </row>
    <row r="6" spans="1:8" x14ac:dyDescent="0.25">
      <c r="A6">
        <v>2</v>
      </c>
      <c r="B6" s="3" t="s">
        <v>2533</v>
      </c>
      <c r="C6" s="4" t="s">
        <v>2590</v>
      </c>
      <c r="D6" s="3">
        <v>6</v>
      </c>
      <c r="E6" s="70">
        <v>2346</v>
      </c>
      <c r="F6" s="3">
        <v>2353</v>
      </c>
      <c r="H6" s="3">
        <f t="shared" ref="H6:H70" si="0">D6*E6</f>
        <v>14076</v>
      </c>
    </row>
    <row r="7" spans="1:8" x14ac:dyDescent="0.25">
      <c r="A7" s="3">
        <v>3</v>
      </c>
      <c r="B7" s="3" t="s">
        <v>2591</v>
      </c>
      <c r="C7" s="4">
        <v>1190</v>
      </c>
      <c r="D7" s="3">
        <v>0</v>
      </c>
      <c r="E7" s="70">
        <v>1581</v>
      </c>
      <c r="F7" s="3">
        <v>1585</v>
      </c>
      <c r="H7" s="3">
        <f t="shared" si="0"/>
        <v>0</v>
      </c>
    </row>
    <row r="8" spans="1:8" x14ac:dyDescent="0.25">
      <c r="A8" s="3">
        <v>4</v>
      </c>
      <c r="B8" s="3" t="s">
        <v>2592</v>
      </c>
      <c r="C8" s="4">
        <v>1190</v>
      </c>
      <c r="D8" s="3">
        <v>0</v>
      </c>
      <c r="E8" s="70">
        <v>1581</v>
      </c>
      <c r="F8" s="3">
        <v>1585</v>
      </c>
      <c r="H8" s="3">
        <f t="shared" si="0"/>
        <v>0</v>
      </c>
    </row>
    <row r="9" spans="1:8" x14ac:dyDescent="0.25">
      <c r="A9" s="3">
        <v>5</v>
      </c>
      <c r="B9" s="3" t="s">
        <v>2534</v>
      </c>
      <c r="C9" s="4">
        <v>124</v>
      </c>
      <c r="D9" s="3">
        <v>0</v>
      </c>
      <c r="E9" s="70">
        <v>1152</v>
      </c>
      <c r="F9" s="3">
        <v>1155</v>
      </c>
      <c r="H9" s="3">
        <f t="shared" si="0"/>
        <v>0</v>
      </c>
    </row>
    <row r="10" spans="1:8" x14ac:dyDescent="0.25">
      <c r="A10" s="3">
        <v>6</v>
      </c>
      <c r="B10" s="3" t="s">
        <v>2535</v>
      </c>
      <c r="C10" s="4">
        <v>124</v>
      </c>
      <c r="D10" s="3">
        <v>0</v>
      </c>
      <c r="E10" s="70">
        <v>1152</v>
      </c>
      <c r="F10" s="3">
        <v>1155</v>
      </c>
      <c r="H10" s="3">
        <f t="shared" si="0"/>
        <v>0</v>
      </c>
    </row>
    <row r="11" spans="1:8" x14ac:dyDescent="0.25">
      <c r="A11" s="3">
        <v>7</v>
      </c>
      <c r="B11" s="3" t="s">
        <v>2536</v>
      </c>
      <c r="C11" s="4">
        <v>126</v>
      </c>
      <c r="D11" s="3">
        <v>0</v>
      </c>
      <c r="E11" s="70">
        <v>1246</v>
      </c>
      <c r="F11" s="3">
        <v>1210</v>
      </c>
      <c r="H11" s="3">
        <f t="shared" si="0"/>
        <v>0</v>
      </c>
    </row>
    <row r="12" spans="1:8" x14ac:dyDescent="0.25">
      <c r="A12" s="3">
        <v>8</v>
      </c>
      <c r="B12" s="3" t="s">
        <v>2537</v>
      </c>
      <c r="C12" s="4">
        <v>126</v>
      </c>
      <c r="D12" s="3">
        <v>0</v>
      </c>
      <c r="E12" s="70">
        <v>1246</v>
      </c>
      <c r="F12" s="3">
        <v>1210</v>
      </c>
      <c r="H12" s="3">
        <f t="shared" si="0"/>
        <v>0</v>
      </c>
    </row>
    <row r="13" spans="1:8" x14ac:dyDescent="0.25">
      <c r="A13" s="3">
        <v>9</v>
      </c>
      <c r="B13" s="3" t="s">
        <v>2538</v>
      </c>
      <c r="C13" s="4">
        <v>6034</v>
      </c>
      <c r="D13" s="3">
        <v>0</v>
      </c>
      <c r="E13" s="70">
        <v>1920</v>
      </c>
      <c r="F13" s="3">
        <v>2016</v>
      </c>
      <c r="H13" s="3">
        <f t="shared" si="0"/>
        <v>0</v>
      </c>
    </row>
    <row r="14" spans="1:8" x14ac:dyDescent="0.25">
      <c r="A14" s="3">
        <v>10</v>
      </c>
      <c r="B14" s="3" t="s">
        <v>2539</v>
      </c>
      <c r="C14" s="4">
        <v>6034</v>
      </c>
      <c r="D14" s="3">
        <v>0</v>
      </c>
      <c r="E14" s="70">
        <v>1920</v>
      </c>
      <c r="F14" s="3">
        <v>2016</v>
      </c>
      <c r="H14" s="3">
        <f t="shared" si="0"/>
        <v>0</v>
      </c>
    </row>
    <row r="15" spans="1:8" x14ac:dyDescent="0.25">
      <c r="A15" s="3">
        <v>11</v>
      </c>
      <c r="B15" s="3" t="s">
        <v>2593</v>
      </c>
      <c r="C15" s="4">
        <v>1222</v>
      </c>
      <c r="D15" s="3">
        <v>5</v>
      </c>
      <c r="E15" s="70">
        <v>2670</v>
      </c>
      <c r="F15" s="3">
        <v>2550</v>
      </c>
      <c r="H15" s="3">
        <f t="shared" si="0"/>
        <v>13350</v>
      </c>
    </row>
    <row r="16" spans="1:8" x14ac:dyDescent="0.25">
      <c r="A16" s="3">
        <v>12</v>
      </c>
      <c r="B16" s="3" t="s">
        <v>2594</v>
      </c>
      <c r="C16" s="4">
        <v>1222</v>
      </c>
      <c r="D16" s="3">
        <v>5</v>
      </c>
      <c r="E16" s="70">
        <v>2670</v>
      </c>
      <c r="F16" s="3">
        <v>2550</v>
      </c>
      <c r="H16" s="3">
        <f t="shared" si="0"/>
        <v>13350</v>
      </c>
    </row>
    <row r="17" spans="1:8" x14ac:dyDescent="0.25">
      <c r="A17" s="3">
        <v>13</v>
      </c>
      <c r="B17" s="3" t="s">
        <v>2540</v>
      </c>
      <c r="C17" s="4">
        <v>9135</v>
      </c>
      <c r="D17" s="3">
        <v>0</v>
      </c>
      <c r="E17" s="70">
        <v>2600</v>
      </c>
      <c r="F17" s="3">
        <v>2483</v>
      </c>
      <c r="H17" s="3">
        <f t="shared" si="0"/>
        <v>0</v>
      </c>
    </row>
    <row r="18" spans="1:8" x14ac:dyDescent="0.25">
      <c r="A18" s="3">
        <v>14</v>
      </c>
      <c r="B18" s="3" t="s">
        <v>2541</v>
      </c>
      <c r="C18" s="4">
        <v>9135</v>
      </c>
      <c r="D18" s="3">
        <v>0</v>
      </c>
      <c r="E18" s="70">
        <v>2600</v>
      </c>
      <c r="F18" s="3">
        <v>2483</v>
      </c>
      <c r="H18" s="3">
        <f t="shared" si="0"/>
        <v>0</v>
      </c>
    </row>
    <row r="19" spans="1:8" x14ac:dyDescent="0.25">
      <c r="A19" s="3">
        <v>15</v>
      </c>
      <c r="B19" s="3" t="s">
        <v>2542</v>
      </c>
      <c r="C19" s="4" t="s">
        <v>2595</v>
      </c>
      <c r="D19" s="3">
        <v>1</v>
      </c>
      <c r="E19" s="70">
        <v>1717</v>
      </c>
      <c r="F19" s="3">
        <v>1727</v>
      </c>
      <c r="H19" s="3">
        <f t="shared" si="0"/>
        <v>1717</v>
      </c>
    </row>
    <row r="20" spans="1:8" x14ac:dyDescent="0.25">
      <c r="A20" s="3">
        <v>16</v>
      </c>
      <c r="B20" s="3" t="s">
        <v>2543</v>
      </c>
      <c r="C20" s="4" t="s">
        <v>2595</v>
      </c>
      <c r="D20" s="3">
        <v>1</v>
      </c>
      <c r="E20" s="70">
        <v>1717</v>
      </c>
      <c r="F20" s="3">
        <v>1727</v>
      </c>
      <c r="H20" s="3">
        <f t="shared" si="0"/>
        <v>1717</v>
      </c>
    </row>
    <row r="21" spans="1:8" x14ac:dyDescent="0.25">
      <c r="A21" s="3">
        <v>17</v>
      </c>
      <c r="B21" s="3" t="s">
        <v>2544</v>
      </c>
      <c r="C21" s="4" t="s">
        <v>2596</v>
      </c>
      <c r="D21" s="3" t="s">
        <v>3228</v>
      </c>
      <c r="E21" s="70">
        <v>1422</v>
      </c>
      <c r="H21" s="3">
        <v>0</v>
      </c>
    </row>
    <row r="22" spans="1:8" x14ac:dyDescent="0.25">
      <c r="A22" s="3">
        <v>18</v>
      </c>
      <c r="B22" s="3" t="s">
        <v>2545</v>
      </c>
      <c r="C22" s="4" t="s">
        <v>2596</v>
      </c>
      <c r="D22" s="3" t="s">
        <v>3228</v>
      </c>
      <c r="E22" s="70">
        <v>1422</v>
      </c>
      <c r="G22" s="3"/>
      <c r="H22" s="3">
        <v>0</v>
      </c>
    </row>
    <row r="23" spans="1:8" x14ac:dyDescent="0.25">
      <c r="A23" s="3">
        <v>19</v>
      </c>
      <c r="B23" s="3" t="s">
        <v>2546</v>
      </c>
      <c r="C23" s="4">
        <v>108</v>
      </c>
      <c r="D23" s="3" t="s">
        <v>3228</v>
      </c>
      <c r="E23" s="70">
        <v>941</v>
      </c>
      <c r="H23" s="3">
        <v>0</v>
      </c>
    </row>
    <row r="24" spans="1:8" x14ac:dyDescent="0.25">
      <c r="A24" s="3">
        <v>20</v>
      </c>
      <c r="B24" s="3" t="s">
        <v>2547</v>
      </c>
      <c r="C24" s="4">
        <v>108</v>
      </c>
      <c r="D24" s="3" t="s">
        <v>3228</v>
      </c>
      <c r="E24" s="70">
        <v>941</v>
      </c>
      <c r="H24" s="3">
        <v>0</v>
      </c>
    </row>
    <row r="25" spans="1:8" x14ac:dyDescent="0.25">
      <c r="A25" s="3">
        <v>21</v>
      </c>
      <c r="B25" s="3" t="s">
        <v>2548</v>
      </c>
      <c r="C25" s="4" t="s">
        <v>2597</v>
      </c>
      <c r="D25" s="3">
        <v>0</v>
      </c>
      <c r="E25" s="70">
        <v>1475</v>
      </c>
      <c r="F25" s="3">
        <v>1410</v>
      </c>
      <c r="H25" s="3">
        <f t="shared" si="0"/>
        <v>0</v>
      </c>
    </row>
    <row r="26" spans="1:8" x14ac:dyDescent="0.25">
      <c r="A26" s="3">
        <v>22</v>
      </c>
      <c r="B26" s="3" t="s">
        <v>2549</v>
      </c>
      <c r="C26" s="4" t="s">
        <v>2597</v>
      </c>
      <c r="D26" s="3">
        <v>0</v>
      </c>
      <c r="E26" s="70">
        <v>1475</v>
      </c>
      <c r="F26" s="3">
        <v>1410</v>
      </c>
      <c r="G26" s="3"/>
      <c r="H26" s="3">
        <f t="shared" si="0"/>
        <v>0</v>
      </c>
    </row>
    <row r="27" spans="1:8" x14ac:dyDescent="0.25">
      <c r="A27" s="3">
        <v>23</v>
      </c>
      <c r="B27" s="3" t="s">
        <v>2550</v>
      </c>
      <c r="C27" s="4" t="s">
        <v>2598</v>
      </c>
      <c r="D27" s="3">
        <v>0</v>
      </c>
      <c r="E27" s="70">
        <v>4270</v>
      </c>
      <c r="F27" s="3">
        <v>4270</v>
      </c>
      <c r="G27" s="3"/>
      <c r="H27" s="3">
        <f t="shared" si="0"/>
        <v>0</v>
      </c>
    </row>
    <row r="28" spans="1:8" x14ac:dyDescent="0.25">
      <c r="A28" s="3">
        <v>24</v>
      </c>
      <c r="B28" s="3" t="s">
        <v>2551</v>
      </c>
      <c r="C28" s="4" t="s">
        <v>2598</v>
      </c>
      <c r="D28" s="3">
        <v>0</v>
      </c>
      <c r="E28" s="70">
        <v>4270</v>
      </c>
      <c r="F28" s="3">
        <v>4270</v>
      </c>
      <c r="G28" s="3"/>
      <c r="H28" s="3">
        <f t="shared" si="0"/>
        <v>0</v>
      </c>
    </row>
    <row r="29" spans="1:8" x14ac:dyDescent="0.25">
      <c r="A29" s="3">
        <v>25</v>
      </c>
      <c r="B29" s="3" t="s">
        <v>2552</v>
      </c>
      <c r="C29" s="4">
        <v>763</v>
      </c>
      <c r="D29" s="3" t="s">
        <v>3228</v>
      </c>
      <c r="E29" s="70">
        <v>1303</v>
      </c>
      <c r="G29" s="3"/>
      <c r="H29" s="3">
        <v>0</v>
      </c>
    </row>
    <row r="30" spans="1:8" x14ac:dyDescent="0.25">
      <c r="A30" s="3">
        <v>26</v>
      </c>
      <c r="B30" s="3" t="s">
        <v>2553</v>
      </c>
      <c r="C30" s="4">
        <v>763</v>
      </c>
      <c r="D30" s="3" t="s">
        <v>3228</v>
      </c>
      <c r="E30" s="70">
        <v>1303</v>
      </c>
      <c r="G30" s="3"/>
      <c r="H30" s="3">
        <v>0</v>
      </c>
    </row>
    <row r="31" spans="1:8" x14ac:dyDescent="0.25">
      <c r="A31" s="3">
        <v>27</v>
      </c>
      <c r="B31" s="3" t="s">
        <v>2554</v>
      </c>
      <c r="C31" s="4">
        <v>150</v>
      </c>
      <c r="D31" s="3">
        <v>0</v>
      </c>
      <c r="E31" s="70" t="s">
        <v>3568</v>
      </c>
      <c r="F31" s="3">
        <v>1489</v>
      </c>
      <c r="H31" s="3"/>
    </row>
    <row r="32" spans="1:8" x14ac:dyDescent="0.25">
      <c r="A32" s="3">
        <v>28</v>
      </c>
      <c r="B32" s="3" t="s">
        <v>2555</v>
      </c>
      <c r="C32" s="4">
        <v>150</v>
      </c>
      <c r="D32" s="3">
        <v>0</v>
      </c>
      <c r="E32" s="70" t="s">
        <v>3568</v>
      </c>
      <c r="F32" s="3">
        <v>1489</v>
      </c>
      <c r="H32" s="3"/>
    </row>
    <row r="33" spans="1:8" x14ac:dyDescent="0.25">
      <c r="A33" s="3">
        <v>29</v>
      </c>
      <c r="B33" s="3" t="s">
        <v>2556</v>
      </c>
      <c r="C33" s="4" t="s">
        <v>2599</v>
      </c>
      <c r="D33" s="3">
        <v>0</v>
      </c>
      <c r="E33" s="70">
        <v>1658</v>
      </c>
      <c r="F33" s="3">
        <v>1658</v>
      </c>
      <c r="H33" s="3">
        <f t="shared" si="0"/>
        <v>0</v>
      </c>
    </row>
    <row r="34" spans="1:8" x14ac:dyDescent="0.25">
      <c r="A34" s="3">
        <v>30</v>
      </c>
      <c r="B34" s="3" t="s">
        <v>2557</v>
      </c>
      <c r="C34" s="4" t="s">
        <v>2599</v>
      </c>
      <c r="D34" s="3">
        <v>0</v>
      </c>
      <c r="E34" s="70">
        <v>1658</v>
      </c>
      <c r="F34" s="3">
        <v>1658</v>
      </c>
      <c r="H34" s="3">
        <f t="shared" si="0"/>
        <v>0</v>
      </c>
    </row>
    <row r="35" spans="1:8" x14ac:dyDescent="0.25">
      <c r="A35" s="3">
        <v>31</v>
      </c>
      <c r="B35" s="3" t="s">
        <v>2558</v>
      </c>
      <c r="C35" s="4">
        <v>9146</v>
      </c>
      <c r="D35" s="3">
        <v>0</v>
      </c>
      <c r="E35" s="70">
        <v>1716</v>
      </c>
      <c r="F35" s="3">
        <v>1694</v>
      </c>
      <c r="H35" s="3">
        <f t="shared" si="0"/>
        <v>0</v>
      </c>
    </row>
    <row r="36" spans="1:8" x14ac:dyDescent="0.25">
      <c r="A36" s="3">
        <v>32</v>
      </c>
      <c r="B36" s="3" t="s">
        <v>2559</v>
      </c>
      <c r="C36" s="4">
        <v>9146</v>
      </c>
      <c r="D36" s="3">
        <v>0</v>
      </c>
      <c r="E36" s="70">
        <v>1716</v>
      </c>
      <c r="F36" s="3">
        <v>1694</v>
      </c>
      <c r="H36" s="3">
        <f t="shared" si="0"/>
        <v>0</v>
      </c>
    </row>
    <row r="37" spans="1:8" x14ac:dyDescent="0.25">
      <c r="A37" s="3">
        <v>33</v>
      </c>
      <c r="B37" s="3" t="s">
        <v>2560</v>
      </c>
      <c r="C37" s="4" t="s">
        <v>2600</v>
      </c>
      <c r="D37" s="3">
        <v>2</v>
      </c>
      <c r="E37" s="70">
        <v>1716</v>
      </c>
      <c r="F37" s="3">
        <v>1694</v>
      </c>
      <c r="G37" s="3"/>
      <c r="H37" s="3">
        <f t="shared" si="0"/>
        <v>3432</v>
      </c>
    </row>
    <row r="38" spans="1:8" x14ac:dyDescent="0.25">
      <c r="A38" s="3">
        <v>34</v>
      </c>
      <c r="B38" s="3" t="s">
        <v>2561</v>
      </c>
      <c r="C38" s="4" t="s">
        <v>2600</v>
      </c>
      <c r="D38" s="3">
        <v>2</v>
      </c>
      <c r="E38" s="70">
        <v>1716</v>
      </c>
      <c r="F38" s="3">
        <v>1694</v>
      </c>
      <c r="H38" s="3">
        <f t="shared" si="0"/>
        <v>3432</v>
      </c>
    </row>
    <row r="39" spans="1:8" x14ac:dyDescent="0.25">
      <c r="A39" s="3">
        <v>35</v>
      </c>
      <c r="B39" s="3" t="s">
        <v>2563</v>
      </c>
      <c r="C39" s="4">
        <v>9134</v>
      </c>
      <c r="D39" s="3">
        <v>2</v>
      </c>
      <c r="E39" s="70">
        <v>2240</v>
      </c>
      <c r="F39" s="3">
        <v>2249</v>
      </c>
      <c r="H39" s="3">
        <f t="shared" si="0"/>
        <v>4480</v>
      </c>
    </row>
    <row r="40" spans="1:8" x14ac:dyDescent="0.25">
      <c r="A40" s="3">
        <v>36</v>
      </c>
      <c r="B40" s="3" t="s">
        <v>2562</v>
      </c>
      <c r="C40" s="4">
        <v>9134</v>
      </c>
      <c r="D40" s="3">
        <v>4</v>
      </c>
      <c r="E40" s="70">
        <v>2240</v>
      </c>
      <c r="F40" s="3">
        <v>2249</v>
      </c>
      <c r="H40" s="3">
        <f t="shared" si="0"/>
        <v>8960</v>
      </c>
    </row>
    <row r="41" spans="1:8" x14ac:dyDescent="0.25">
      <c r="A41" s="3">
        <v>37</v>
      </c>
      <c r="B41" s="3" t="s">
        <v>2564</v>
      </c>
      <c r="C41" s="4">
        <v>132</v>
      </c>
      <c r="D41" s="3" t="s">
        <v>3228</v>
      </c>
      <c r="E41" s="70">
        <v>1266</v>
      </c>
      <c r="H41" s="3">
        <v>0</v>
      </c>
    </row>
    <row r="42" spans="1:8" x14ac:dyDescent="0.25">
      <c r="A42" s="3">
        <v>38</v>
      </c>
      <c r="B42" s="3" t="s">
        <v>2565</v>
      </c>
      <c r="C42" s="4">
        <v>132</v>
      </c>
      <c r="D42" s="3" t="s">
        <v>3228</v>
      </c>
      <c r="E42" s="70">
        <v>1266</v>
      </c>
      <c r="G42" s="3"/>
      <c r="H42" s="3">
        <v>0</v>
      </c>
    </row>
    <row r="43" spans="1:8" s="3" customFormat="1" x14ac:dyDescent="0.25">
      <c r="A43" s="3">
        <v>39</v>
      </c>
      <c r="B43" s="3" t="s">
        <v>2664</v>
      </c>
      <c r="C43" s="4">
        <v>116</v>
      </c>
      <c r="D43" s="3">
        <v>1</v>
      </c>
      <c r="E43" s="70">
        <v>675</v>
      </c>
      <c r="F43" s="3">
        <v>674</v>
      </c>
      <c r="H43" s="3">
        <f t="shared" si="0"/>
        <v>675</v>
      </c>
    </row>
    <row r="44" spans="1:8" s="3" customFormat="1" x14ac:dyDescent="0.25">
      <c r="A44" s="3">
        <v>40</v>
      </c>
      <c r="B44" s="3" t="s">
        <v>2665</v>
      </c>
      <c r="C44" s="4">
        <v>116</v>
      </c>
      <c r="D44" s="3">
        <v>0</v>
      </c>
      <c r="E44" s="70">
        <v>675</v>
      </c>
      <c r="F44" s="3">
        <v>674</v>
      </c>
      <c r="H44" s="3">
        <f t="shared" si="0"/>
        <v>0</v>
      </c>
    </row>
    <row r="45" spans="1:8" s="3" customFormat="1" x14ac:dyDescent="0.25">
      <c r="A45" s="3">
        <v>41</v>
      </c>
      <c r="B45" s="3" t="s">
        <v>2666</v>
      </c>
      <c r="C45" s="4">
        <v>1110</v>
      </c>
      <c r="D45" s="3">
        <v>0</v>
      </c>
      <c r="E45" s="70">
        <v>779</v>
      </c>
      <c r="F45" s="3">
        <v>818</v>
      </c>
      <c r="H45" s="3">
        <f t="shared" si="0"/>
        <v>0</v>
      </c>
    </row>
    <row r="46" spans="1:8" s="3" customFormat="1" x14ac:dyDescent="0.25">
      <c r="A46" s="3">
        <v>42</v>
      </c>
      <c r="B46" s="3" t="s">
        <v>2667</v>
      </c>
      <c r="C46" s="4">
        <v>1110</v>
      </c>
      <c r="D46" s="3">
        <v>0</v>
      </c>
      <c r="E46" s="70">
        <v>779</v>
      </c>
      <c r="F46" s="3">
        <v>818</v>
      </c>
      <c r="H46" s="3">
        <f t="shared" si="0"/>
        <v>0</v>
      </c>
    </row>
    <row r="47" spans="1:8" s="3" customFormat="1" x14ac:dyDescent="0.25">
      <c r="A47" s="3">
        <v>43</v>
      </c>
      <c r="B47" s="3" t="s">
        <v>2668</v>
      </c>
      <c r="C47" s="4">
        <v>118</v>
      </c>
      <c r="D47" s="3">
        <v>0</v>
      </c>
      <c r="E47" s="70">
        <v>900</v>
      </c>
      <c r="F47" s="3">
        <v>893</v>
      </c>
      <c r="H47" s="3">
        <f t="shared" si="0"/>
        <v>0</v>
      </c>
    </row>
    <row r="48" spans="1:8" s="3" customFormat="1" x14ac:dyDescent="0.25">
      <c r="A48" s="3">
        <v>44</v>
      </c>
      <c r="B48" s="3" t="s">
        <v>2669</v>
      </c>
      <c r="C48" s="4">
        <v>118</v>
      </c>
      <c r="D48" s="3">
        <v>0</v>
      </c>
      <c r="E48" s="70">
        <v>900</v>
      </c>
      <c r="F48" s="3">
        <v>893</v>
      </c>
      <c r="H48" s="3">
        <f t="shared" si="0"/>
        <v>0</v>
      </c>
    </row>
    <row r="49" spans="1:8" s="3" customFormat="1" x14ac:dyDescent="0.25">
      <c r="A49" s="3">
        <v>45</v>
      </c>
      <c r="B49" s="3" t="s">
        <v>2670</v>
      </c>
      <c r="C49" s="4" t="s">
        <v>2663</v>
      </c>
      <c r="D49" s="3">
        <v>0</v>
      </c>
      <c r="E49" s="70">
        <v>1594</v>
      </c>
      <c r="F49" s="3">
        <v>1595</v>
      </c>
      <c r="H49" s="3">
        <f t="shared" si="0"/>
        <v>0</v>
      </c>
    </row>
    <row r="50" spans="1:8" s="3" customFormat="1" x14ac:dyDescent="0.25">
      <c r="A50" s="3">
        <v>46</v>
      </c>
      <c r="B50" s="3" t="s">
        <v>2671</v>
      </c>
      <c r="C50" s="4" t="s">
        <v>2663</v>
      </c>
      <c r="D50" s="3">
        <v>0</v>
      </c>
      <c r="E50" s="70">
        <v>1594</v>
      </c>
      <c r="F50" s="3">
        <v>1595</v>
      </c>
      <c r="H50" s="3">
        <f t="shared" si="0"/>
        <v>0</v>
      </c>
    </row>
    <row r="51" spans="1:8" s="3" customFormat="1" x14ac:dyDescent="0.25">
      <c r="B51" s="3" t="s">
        <v>2670</v>
      </c>
      <c r="C51" s="4" t="s">
        <v>3243</v>
      </c>
      <c r="D51" s="3">
        <v>0</v>
      </c>
      <c r="E51" s="70">
        <v>1594</v>
      </c>
      <c r="F51" s="3">
        <v>1595</v>
      </c>
      <c r="H51" s="3">
        <f t="shared" si="0"/>
        <v>0</v>
      </c>
    </row>
    <row r="52" spans="1:8" s="3" customFormat="1" x14ac:dyDescent="0.25">
      <c r="B52" s="3" t="s">
        <v>2671</v>
      </c>
      <c r="C52" s="4" t="s">
        <v>3243</v>
      </c>
      <c r="D52" s="3">
        <v>0</v>
      </c>
      <c r="E52" s="70">
        <v>1594</v>
      </c>
      <c r="F52" s="3">
        <v>1595</v>
      </c>
      <c r="H52" s="3">
        <f t="shared" si="0"/>
        <v>0</v>
      </c>
    </row>
    <row r="53" spans="1:8" s="3" customFormat="1" x14ac:dyDescent="0.25">
      <c r="A53" s="3">
        <v>47</v>
      </c>
      <c r="B53" s="3" t="s">
        <v>2679</v>
      </c>
      <c r="C53" s="4">
        <v>6037</v>
      </c>
      <c r="D53" s="3">
        <v>0</v>
      </c>
      <c r="E53" s="70">
        <v>1374</v>
      </c>
      <c r="F53" s="3">
        <v>1344</v>
      </c>
      <c r="H53" s="3">
        <f t="shared" si="0"/>
        <v>0</v>
      </c>
    </row>
    <row r="54" spans="1:8" s="3" customFormat="1" x14ac:dyDescent="0.25">
      <c r="A54" s="3">
        <v>48</v>
      </c>
      <c r="B54" s="3" t="s">
        <v>2680</v>
      </c>
      <c r="C54" s="4">
        <v>6037</v>
      </c>
      <c r="D54" s="3">
        <v>0</v>
      </c>
      <c r="E54" s="70">
        <v>1374</v>
      </c>
      <c r="F54" s="3">
        <v>1344</v>
      </c>
      <c r="H54" s="3">
        <f t="shared" si="0"/>
        <v>0</v>
      </c>
    </row>
    <row r="55" spans="1:8" s="3" customFormat="1" x14ac:dyDescent="0.25">
      <c r="A55" s="3">
        <v>49</v>
      </c>
      <c r="B55" s="3" t="s">
        <v>2682</v>
      </c>
      <c r="C55" s="4" t="s">
        <v>2681</v>
      </c>
      <c r="D55" s="3">
        <v>0</v>
      </c>
      <c r="E55" s="70">
        <v>1594</v>
      </c>
      <c r="F55" s="3">
        <v>1595</v>
      </c>
      <c r="H55" s="3">
        <f t="shared" si="0"/>
        <v>0</v>
      </c>
    </row>
    <row r="56" spans="1:8" s="3" customFormat="1" x14ac:dyDescent="0.25">
      <c r="A56" s="3">
        <v>50</v>
      </c>
      <c r="B56" s="3" t="s">
        <v>2683</v>
      </c>
      <c r="C56" s="4" t="s">
        <v>2681</v>
      </c>
      <c r="D56" s="3">
        <v>0</v>
      </c>
      <c r="E56" s="70">
        <v>1594</v>
      </c>
      <c r="F56" s="3">
        <v>1595</v>
      </c>
      <c r="H56" s="3">
        <f t="shared" si="0"/>
        <v>0</v>
      </c>
    </row>
    <row r="57" spans="1:8" s="3" customFormat="1" x14ac:dyDescent="0.25">
      <c r="A57" s="3">
        <v>51</v>
      </c>
      <c r="B57" s="3" t="s">
        <v>2617</v>
      </c>
      <c r="C57" s="4">
        <v>1191</v>
      </c>
      <c r="D57" s="3">
        <v>1</v>
      </c>
      <c r="E57" s="70">
        <v>2356</v>
      </c>
      <c r="F57" s="3">
        <v>2356</v>
      </c>
      <c r="H57" s="3">
        <f t="shared" si="0"/>
        <v>2356</v>
      </c>
    </row>
    <row r="58" spans="1:8" s="3" customFormat="1" x14ac:dyDescent="0.25">
      <c r="A58" s="3">
        <v>52</v>
      </c>
      <c r="B58" s="3" t="s">
        <v>2618</v>
      </c>
      <c r="C58" s="4">
        <v>1191</v>
      </c>
      <c r="D58" s="3">
        <v>1</v>
      </c>
      <c r="E58" s="70">
        <v>2356</v>
      </c>
      <c r="F58" s="3">
        <v>2356</v>
      </c>
      <c r="H58" s="3">
        <f t="shared" si="0"/>
        <v>2356</v>
      </c>
    </row>
    <row r="59" spans="1:8" s="3" customFormat="1" x14ac:dyDescent="0.25">
      <c r="A59" s="3">
        <v>53</v>
      </c>
      <c r="B59" s="3" t="s">
        <v>2619</v>
      </c>
      <c r="C59" s="4">
        <v>6048</v>
      </c>
      <c r="D59" s="3">
        <v>1</v>
      </c>
      <c r="E59" s="70">
        <v>2560</v>
      </c>
      <c r="F59" s="3">
        <v>2688</v>
      </c>
      <c r="H59" s="3">
        <f t="shared" si="0"/>
        <v>2560</v>
      </c>
    </row>
    <row r="60" spans="1:8" s="3" customFormat="1" x14ac:dyDescent="0.25">
      <c r="A60" s="3">
        <v>54</v>
      </c>
      <c r="B60" s="3" t="s">
        <v>2620</v>
      </c>
      <c r="C60" s="4">
        <v>6048</v>
      </c>
      <c r="D60" s="3">
        <v>2</v>
      </c>
      <c r="E60" s="70">
        <v>2560</v>
      </c>
      <c r="F60" s="3">
        <v>2688</v>
      </c>
      <c r="H60" s="3">
        <f t="shared" si="0"/>
        <v>5120</v>
      </c>
    </row>
    <row r="61" spans="1:8" s="3" customFormat="1" x14ac:dyDescent="0.25">
      <c r="A61" s="3">
        <v>55</v>
      </c>
      <c r="B61" s="3" t="s">
        <v>2621</v>
      </c>
      <c r="C61" s="4">
        <v>106</v>
      </c>
      <c r="D61" s="3">
        <v>3</v>
      </c>
      <c r="E61" s="70">
        <v>1284</v>
      </c>
      <c r="F61" s="3">
        <v>1348</v>
      </c>
      <c r="H61" s="3">
        <f t="shared" si="0"/>
        <v>3852</v>
      </c>
    </row>
    <row r="62" spans="1:8" s="3" customFormat="1" x14ac:dyDescent="0.25">
      <c r="A62" s="3">
        <v>56</v>
      </c>
      <c r="B62" s="3" t="s">
        <v>2622</v>
      </c>
      <c r="C62" s="4">
        <v>106</v>
      </c>
      <c r="D62" s="3">
        <v>3</v>
      </c>
      <c r="E62" s="70">
        <v>1284</v>
      </c>
      <c r="F62" s="3">
        <v>1348</v>
      </c>
      <c r="H62" s="3">
        <f t="shared" si="0"/>
        <v>3852</v>
      </c>
    </row>
    <row r="63" spans="1:8" s="3" customFormat="1" x14ac:dyDescent="0.25">
      <c r="A63" s="3">
        <v>57</v>
      </c>
      <c r="B63" s="3" t="s">
        <v>2623</v>
      </c>
      <c r="C63" s="4">
        <v>12005</v>
      </c>
      <c r="D63" s="3">
        <v>1</v>
      </c>
      <c r="E63" s="70">
        <v>2774</v>
      </c>
      <c r="F63" s="3">
        <v>2913</v>
      </c>
      <c r="H63" s="3">
        <f t="shared" si="0"/>
        <v>2774</v>
      </c>
    </row>
    <row r="64" spans="1:8" s="3" customFormat="1" x14ac:dyDescent="0.25">
      <c r="A64" s="3">
        <v>58</v>
      </c>
      <c r="B64" s="3" t="s">
        <v>2624</v>
      </c>
      <c r="C64" s="4">
        <v>12005</v>
      </c>
      <c r="D64" s="3">
        <v>1</v>
      </c>
      <c r="E64" s="70">
        <v>2774</v>
      </c>
      <c r="F64" s="3">
        <v>2913</v>
      </c>
      <c r="H64" s="3">
        <f t="shared" si="0"/>
        <v>2774</v>
      </c>
    </row>
    <row r="65" spans="1:8" s="3" customFormat="1" x14ac:dyDescent="0.25">
      <c r="A65" s="3">
        <v>59</v>
      </c>
      <c r="B65" s="3" t="s">
        <v>2728</v>
      </c>
      <c r="C65" s="4">
        <v>142</v>
      </c>
      <c r="D65" s="3">
        <v>0</v>
      </c>
      <c r="E65" s="70">
        <v>1400</v>
      </c>
      <c r="F65" s="3">
        <v>1252</v>
      </c>
      <c r="H65" s="3">
        <f t="shared" si="0"/>
        <v>0</v>
      </c>
    </row>
    <row r="66" spans="1:8" s="3" customFormat="1" x14ac:dyDescent="0.25">
      <c r="A66" s="3">
        <v>60</v>
      </c>
      <c r="B66" s="3" t="s">
        <v>2729</v>
      </c>
      <c r="C66" s="4">
        <v>142</v>
      </c>
      <c r="D66" s="3">
        <v>0</v>
      </c>
      <c r="E66" s="70">
        <v>1400</v>
      </c>
      <c r="F66" s="3">
        <v>1252</v>
      </c>
      <c r="H66" s="3">
        <f t="shared" si="0"/>
        <v>0</v>
      </c>
    </row>
    <row r="67" spans="1:8" s="3" customFormat="1" x14ac:dyDescent="0.25">
      <c r="B67" s="3" t="s">
        <v>2992</v>
      </c>
      <c r="C67" s="4">
        <v>9142</v>
      </c>
      <c r="D67" s="3">
        <v>1</v>
      </c>
      <c r="E67" s="70">
        <v>3520</v>
      </c>
      <c r="F67" s="3">
        <v>3520</v>
      </c>
      <c r="H67" s="3">
        <f t="shared" si="0"/>
        <v>3520</v>
      </c>
    </row>
    <row r="68" spans="1:8" s="3" customFormat="1" x14ac:dyDescent="0.25">
      <c r="B68" s="3" t="s">
        <v>2993</v>
      </c>
      <c r="C68" s="4">
        <v>9142</v>
      </c>
      <c r="D68" s="3">
        <v>1</v>
      </c>
      <c r="E68" s="70">
        <v>3520</v>
      </c>
      <c r="F68" s="3">
        <v>3520</v>
      </c>
      <c r="H68" s="3">
        <f t="shared" si="0"/>
        <v>3520</v>
      </c>
    </row>
    <row r="69" spans="1:8" s="3" customFormat="1" x14ac:dyDescent="0.25">
      <c r="A69" s="3">
        <v>61</v>
      </c>
      <c r="B69" s="3" t="s">
        <v>2615</v>
      </c>
      <c r="C69" s="4">
        <v>769</v>
      </c>
      <c r="D69" s="3">
        <v>0</v>
      </c>
      <c r="E69" s="70">
        <v>462</v>
      </c>
      <c r="F69" s="3">
        <v>429</v>
      </c>
      <c r="H69" s="3">
        <f t="shared" si="0"/>
        <v>0</v>
      </c>
    </row>
    <row r="70" spans="1:8" s="3" customFormat="1" x14ac:dyDescent="0.25">
      <c r="A70" s="3">
        <v>62</v>
      </c>
      <c r="B70" s="3" t="s">
        <v>2616</v>
      </c>
      <c r="C70" s="4">
        <v>814</v>
      </c>
      <c r="D70" s="3">
        <v>23</v>
      </c>
      <c r="E70" s="70">
        <v>276</v>
      </c>
      <c r="F70" s="3">
        <v>268</v>
      </c>
      <c r="G70"/>
      <c r="H70" s="3">
        <f t="shared" si="0"/>
        <v>6348</v>
      </c>
    </row>
    <row r="71" spans="1:8" s="3" customFormat="1" x14ac:dyDescent="0.25">
      <c r="C71" s="4"/>
      <c r="E71" s="70"/>
    </row>
    <row r="72" spans="1:8" s="3" customFormat="1" x14ac:dyDescent="0.25">
      <c r="C72" s="4"/>
      <c r="E72" s="70"/>
      <c r="H72" s="3">
        <f>SUM(H5:H71)</f>
        <v>120643</v>
      </c>
    </row>
    <row r="73" spans="1:8" s="3" customFormat="1" x14ac:dyDescent="0.25">
      <c r="C73" s="4"/>
      <c r="E73" s="70"/>
    </row>
    <row r="74" spans="1:8" s="3" customFormat="1" x14ac:dyDescent="0.25">
      <c r="C74" s="4"/>
      <c r="E74" s="70"/>
    </row>
    <row r="75" spans="1:8" s="3" customFormat="1" x14ac:dyDescent="0.25">
      <c r="C75" s="4"/>
      <c r="E75" s="70"/>
    </row>
    <row r="76" spans="1:8" s="3" customFormat="1" x14ac:dyDescent="0.25">
      <c r="C76" s="4"/>
      <c r="E76" s="70"/>
    </row>
    <row r="77" spans="1:8" s="3" customFormat="1" x14ac:dyDescent="0.25">
      <c r="C77" s="4"/>
      <c r="E77" s="70"/>
    </row>
    <row r="78" spans="1:8" s="3" customFormat="1" ht="18" x14ac:dyDescent="0.25">
      <c r="B78" s="66" t="s">
        <v>2704</v>
      </c>
      <c r="C78" s="4"/>
      <c r="E78" s="70"/>
    </row>
    <row r="79" spans="1:8" s="3" customFormat="1" x14ac:dyDescent="0.25">
      <c r="C79" s="4"/>
      <c r="E79" s="70"/>
    </row>
    <row r="80" spans="1:8" s="3" customFormat="1" x14ac:dyDescent="0.25">
      <c r="C80" s="4"/>
      <c r="E80" s="70"/>
    </row>
    <row r="81" spans="1:8" x14ac:dyDescent="0.25">
      <c r="A81" s="3">
        <v>1</v>
      </c>
      <c r="B81" s="3" t="s">
        <v>2566</v>
      </c>
      <c r="C81" s="4">
        <v>1155</v>
      </c>
      <c r="D81" s="3">
        <v>4</v>
      </c>
      <c r="E81" s="70">
        <v>449</v>
      </c>
      <c r="F81" s="3">
        <v>424</v>
      </c>
      <c r="H81">
        <f>D81*E81</f>
        <v>1796</v>
      </c>
    </row>
    <row r="82" spans="1:8" x14ac:dyDescent="0.25">
      <c r="A82" s="3">
        <v>2</v>
      </c>
      <c r="B82" s="3" t="s">
        <v>2567</v>
      </c>
      <c r="C82" s="4">
        <v>1155</v>
      </c>
      <c r="D82" s="3">
        <v>4</v>
      </c>
      <c r="E82" s="70">
        <v>449</v>
      </c>
      <c r="F82" s="3">
        <v>424</v>
      </c>
      <c r="H82" s="3">
        <f t="shared" ref="H82:H145" si="1">D82*E82</f>
        <v>1796</v>
      </c>
    </row>
    <row r="83" spans="1:8" x14ac:dyDescent="0.25">
      <c r="A83" s="3">
        <v>3</v>
      </c>
      <c r="B83" s="3" t="s">
        <v>2568</v>
      </c>
      <c r="C83" s="4" t="s">
        <v>2601</v>
      </c>
      <c r="D83" s="3">
        <v>0</v>
      </c>
      <c r="E83" s="70">
        <v>545</v>
      </c>
      <c r="F83" s="3">
        <v>515</v>
      </c>
      <c r="H83" s="3">
        <f t="shared" si="1"/>
        <v>0</v>
      </c>
    </row>
    <row r="84" spans="1:8" x14ac:dyDescent="0.25">
      <c r="A84" s="3">
        <v>4</v>
      </c>
      <c r="B84" s="3" t="s">
        <v>2569</v>
      </c>
      <c r="C84" s="4" t="s">
        <v>2601</v>
      </c>
      <c r="D84" s="3">
        <v>0</v>
      </c>
      <c r="E84" s="70">
        <v>545</v>
      </c>
      <c r="F84" s="3">
        <v>515</v>
      </c>
      <c r="H84" s="3">
        <f t="shared" si="1"/>
        <v>0</v>
      </c>
    </row>
    <row r="85" spans="1:8" x14ac:dyDescent="0.25">
      <c r="A85" s="3">
        <v>5</v>
      </c>
      <c r="B85" s="3" t="s">
        <v>2570</v>
      </c>
      <c r="C85" s="4">
        <v>9133</v>
      </c>
      <c r="D85" s="3">
        <v>1</v>
      </c>
      <c r="E85" s="70">
        <v>1600</v>
      </c>
      <c r="F85" s="3">
        <v>1493</v>
      </c>
      <c r="H85" s="3">
        <f t="shared" si="1"/>
        <v>1600</v>
      </c>
    </row>
    <row r="86" spans="1:8" x14ac:dyDescent="0.25">
      <c r="A86" s="3">
        <v>6</v>
      </c>
      <c r="B86" s="3" t="s">
        <v>2571</v>
      </c>
      <c r="C86" s="4">
        <v>9133</v>
      </c>
      <c r="D86" s="3">
        <v>0</v>
      </c>
      <c r="E86" s="70">
        <v>1600</v>
      </c>
      <c r="F86" s="3">
        <v>1493</v>
      </c>
      <c r="H86" s="3">
        <f t="shared" si="1"/>
        <v>0</v>
      </c>
    </row>
    <row r="87" spans="1:8" x14ac:dyDescent="0.25">
      <c r="A87" s="3">
        <v>7</v>
      </c>
      <c r="B87" s="3" t="s">
        <v>2572</v>
      </c>
      <c r="C87" s="4">
        <v>9143</v>
      </c>
      <c r="D87" s="3">
        <v>0</v>
      </c>
      <c r="E87" s="70">
        <v>1530</v>
      </c>
      <c r="F87" s="3">
        <v>1446</v>
      </c>
      <c r="H87" s="3">
        <f t="shared" si="1"/>
        <v>0</v>
      </c>
    </row>
    <row r="88" spans="1:8" x14ac:dyDescent="0.25">
      <c r="A88" s="3">
        <v>8</v>
      </c>
      <c r="B88" s="3" t="s">
        <v>2573</v>
      </c>
      <c r="C88" s="4">
        <v>9143</v>
      </c>
      <c r="D88" s="3">
        <v>2</v>
      </c>
      <c r="E88" s="70">
        <v>1530</v>
      </c>
      <c r="F88" s="3">
        <v>1446</v>
      </c>
      <c r="H88" s="3">
        <f t="shared" si="1"/>
        <v>3060</v>
      </c>
    </row>
    <row r="89" spans="1:8" x14ac:dyDescent="0.25">
      <c r="A89" s="3">
        <v>9</v>
      </c>
      <c r="B89" s="3" t="s">
        <v>2574</v>
      </c>
      <c r="C89" s="4">
        <v>407</v>
      </c>
      <c r="D89" s="3" t="s">
        <v>3228</v>
      </c>
      <c r="E89" s="70">
        <v>596</v>
      </c>
      <c r="H89" s="3">
        <v>0</v>
      </c>
    </row>
    <row r="90" spans="1:8" x14ac:dyDescent="0.25">
      <c r="A90" s="3">
        <v>10</v>
      </c>
      <c r="B90" s="3" t="s">
        <v>2575</v>
      </c>
      <c r="C90" s="4">
        <v>407</v>
      </c>
      <c r="D90" s="3" t="s">
        <v>3228</v>
      </c>
      <c r="E90" s="70">
        <v>596</v>
      </c>
      <c r="H90" s="3">
        <v>0</v>
      </c>
    </row>
    <row r="91" spans="1:8" x14ac:dyDescent="0.25">
      <c r="A91" s="3">
        <v>11</v>
      </c>
      <c r="B91" s="3" t="s">
        <v>2576</v>
      </c>
      <c r="C91" s="4">
        <v>172</v>
      </c>
      <c r="D91" s="3">
        <v>0</v>
      </c>
      <c r="E91" s="70">
        <v>682</v>
      </c>
      <c r="F91" s="3">
        <v>644</v>
      </c>
      <c r="H91" s="3">
        <f t="shared" si="1"/>
        <v>0</v>
      </c>
    </row>
    <row r="92" spans="1:8" x14ac:dyDescent="0.25">
      <c r="A92" s="3">
        <v>12</v>
      </c>
      <c r="B92" s="3" t="s">
        <v>2577</v>
      </c>
      <c r="C92" s="4">
        <v>172</v>
      </c>
      <c r="D92" s="3">
        <v>1</v>
      </c>
      <c r="E92" s="70">
        <v>682</v>
      </c>
      <c r="F92" s="3">
        <v>644</v>
      </c>
      <c r="H92" s="3">
        <f t="shared" si="1"/>
        <v>682</v>
      </c>
    </row>
    <row r="93" spans="1:8" x14ac:dyDescent="0.25">
      <c r="A93" s="3">
        <v>13</v>
      </c>
      <c r="B93" s="3" t="s">
        <v>2578</v>
      </c>
      <c r="C93" s="4" t="s">
        <v>2602</v>
      </c>
      <c r="D93" s="3">
        <v>0</v>
      </c>
      <c r="E93" s="70" t="s">
        <v>3648</v>
      </c>
      <c r="F93" s="3">
        <v>725</v>
      </c>
      <c r="H93" s="3"/>
    </row>
    <row r="94" spans="1:8" x14ac:dyDescent="0.25">
      <c r="A94" s="3">
        <v>14</v>
      </c>
      <c r="B94" s="3" t="s">
        <v>2579</v>
      </c>
      <c r="C94" s="4" t="s">
        <v>2602</v>
      </c>
      <c r="D94" s="3">
        <v>0</v>
      </c>
      <c r="E94" s="70" t="s">
        <v>3648</v>
      </c>
      <c r="F94" s="3">
        <v>725</v>
      </c>
      <c r="H94" s="3"/>
    </row>
    <row r="95" spans="1:8" x14ac:dyDescent="0.25">
      <c r="A95" s="3">
        <v>15</v>
      </c>
      <c r="B95" s="3" t="s">
        <v>2580</v>
      </c>
      <c r="C95" s="4" t="s">
        <v>2603</v>
      </c>
      <c r="D95" s="3">
        <v>5</v>
      </c>
      <c r="E95" s="70">
        <v>1226</v>
      </c>
      <c r="F95" s="3">
        <v>1137</v>
      </c>
      <c r="H95" s="3">
        <f t="shared" si="1"/>
        <v>6130</v>
      </c>
    </row>
    <row r="96" spans="1:8" x14ac:dyDescent="0.25">
      <c r="A96" s="3">
        <v>16</v>
      </c>
      <c r="B96" s="3" t="s">
        <v>2581</v>
      </c>
      <c r="C96" s="4" t="s">
        <v>2603</v>
      </c>
      <c r="D96" s="3">
        <v>4</v>
      </c>
      <c r="E96" s="70">
        <v>1226</v>
      </c>
      <c r="F96" s="3">
        <v>1137</v>
      </c>
      <c r="H96" s="3">
        <f t="shared" si="1"/>
        <v>4904</v>
      </c>
    </row>
    <row r="97" spans="1:8" x14ac:dyDescent="0.25">
      <c r="A97" s="3">
        <v>17</v>
      </c>
      <c r="B97" s="3" t="s">
        <v>2582</v>
      </c>
      <c r="C97" s="4" t="s">
        <v>2604</v>
      </c>
      <c r="D97" s="3">
        <v>4</v>
      </c>
      <c r="E97" s="70">
        <v>1226</v>
      </c>
      <c r="F97" s="3">
        <v>1137</v>
      </c>
      <c r="H97" s="3">
        <f t="shared" si="1"/>
        <v>4904</v>
      </c>
    </row>
    <row r="98" spans="1:8" x14ac:dyDescent="0.25">
      <c r="A98" s="3">
        <v>18</v>
      </c>
      <c r="B98" s="3" t="s">
        <v>2583</v>
      </c>
      <c r="C98" s="4" t="s">
        <v>2604</v>
      </c>
      <c r="D98" s="3">
        <v>5</v>
      </c>
      <c r="E98" s="70">
        <v>1226</v>
      </c>
      <c r="F98" s="3">
        <v>1137</v>
      </c>
      <c r="H98" s="3">
        <f t="shared" si="1"/>
        <v>6130</v>
      </c>
    </row>
    <row r="99" spans="1:8" x14ac:dyDescent="0.25">
      <c r="A99" s="3">
        <v>19</v>
      </c>
      <c r="B99" s="3" t="s">
        <v>2605</v>
      </c>
      <c r="C99" s="4" t="s">
        <v>3224</v>
      </c>
      <c r="D99" s="3">
        <v>0</v>
      </c>
      <c r="E99" s="70">
        <v>528</v>
      </c>
      <c r="F99" s="3">
        <v>538</v>
      </c>
      <c r="H99" s="3">
        <f t="shared" si="1"/>
        <v>0</v>
      </c>
    </row>
    <row r="100" spans="1:8" x14ac:dyDescent="0.25">
      <c r="A100" s="3">
        <v>20</v>
      </c>
      <c r="B100" s="3" t="s">
        <v>2605</v>
      </c>
      <c r="C100" s="4" t="s">
        <v>3225</v>
      </c>
      <c r="D100" s="3">
        <v>0</v>
      </c>
      <c r="E100" s="70">
        <v>528</v>
      </c>
      <c r="F100" s="3">
        <v>538</v>
      </c>
      <c r="G100" s="3"/>
      <c r="H100" s="3">
        <f t="shared" si="1"/>
        <v>0</v>
      </c>
    </row>
    <row r="101" spans="1:8" x14ac:dyDescent="0.25">
      <c r="A101" s="3">
        <v>21</v>
      </c>
      <c r="B101" s="3" t="s">
        <v>2584</v>
      </c>
      <c r="C101" s="4">
        <v>212</v>
      </c>
      <c r="D101" s="3">
        <v>0</v>
      </c>
      <c r="E101" s="70">
        <v>277</v>
      </c>
      <c r="F101" s="3">
        <v>256</v>
      </c>
      <c r="H101" s="3">
        <f t="shared" si="1"/>
        <v>0</v>
      </c>
    </row>
    <row r="102" spans="1:8" x14ac:dyDescent="0.25">
      <c r="A102" s="3">
        <v>22</v>
      </c>
      <c r="B102" s="3" t="s">
        <v>2585</v>
      </c>
      <c r="C102" s="4">
        <v>1506</v>
      </c>
      <c r="D102" s="3">
        <v>5</v>
      </c>
      <c r="E102" s="70">
        <v>774</v>
      </c>
      <c r="F102" s="3">
        <v>672</v>
      </c>
      <c r="H102" s="3">
        <f t="shared" si="1"/>
        <v>3870</v>
      </c>
    </row>
    <row r="103" spans="1:8" x14ac:dyDescent="0.25">
      <c r="A103" s="3">
        <v>23</v>
      </c>
      <c r="B103" s="3" t="s">
        <v>2586</v>
      </c>
      <c r="C103" s="4">
        <v>1506</v>
      </c>
      <c r="D103" s="3">
        <v>4</v>
      </c>
      <c r="E103" s="70">
        <v>774</v>
      </c>
      <c r="F103" s="3">
        <v>672</v>
      </c>
      <c r="H103" s="3">
        <f t="shared" si="1"/>
        <v>3096</v>
      </c>
    </row>
    <row r="104" spans="1:8" x14ac:dyDescent="0.25">
      <c r="A104" s="3">
        <v>24</v>
      </c>
      <c r="B104" s="3" t="s">
        <v>2587</v>
      </c>
      <c r="C104" s="4">
        <v>1275</v>
      </c>
      <c r="D104" s="3">
        <v>0</v>
      </c>
      <c r="E104" s="70">
        <v>1281</v>
      </c>
      <c r="F104" s="3">
        <v>1282</v>
      </c>
      <c r="H104" s="3">
        <f t="shared" si="1"/>
        <v>0</v>
      </c>
    </row>
    <row r="105" spans="1:8" x14ac:dyDescent="0.25">
      <c r="A105" s="3">
        <v>25</v>
      </c>
      <c r="B105" s="3" t="s">
        <v>2588</v>
      </c>
      <c r="C105" s="4">
        <v>1275</v>
      </c>
      <c r="D105" s="3">
        <v>1</v>
      </c>
      <c r="E105" s="70">
        <v>1281</v>
      </c>
      <c r="F105" s="3">
        <v>1282</v>
      </c>
      <c r="H105" s="3">
        <f t="shared" si="1"/>
        <v>1281</v>
      </c>
    </row>
    <row r="106" spans="1:8" x14ac:dyDescent="0.25">
      <c r="A106" s="3">
        <v>26</v>
      </c>
      <c r="B106" s="3" t="s">
        <v>2589</v>
      </c>
      <c r="C106" s="4">
        <v>1274</v>
      </c>
      <c r="D106" s="3">
        <v>1</v>
      </c>
      <c r="E106" s="70">
        <v>1227</v>
      </c>
      <c r="F106" s="3">
        <v>1234</v>
      </c>
      <c r="H106" s="3">
        <f t="shared" si="1"/>
        <v>1227</v>
      </c>
    </row>
    <row r="107" spans="1:8" x14ac:dyDescent="0.25">
      <c r="A107" s="3">
        <v>27</v>
      </c>
      <c r="B107" s="3" t="s">
        <v>2606</v>
      </c>
      <c r="C107" s="4">
        <v>1274</v>
      </c>
      <c r="D107" s="3">
        <v>2</v>
      </c>
      <c r="E107" s="70">
        <v>1227</v>
      </c>
      <c r="F107" s="3">
        <v>1234</v>
      </c>
      <c r="H107" s="3">
        <f t="shared" si="1"/>
        <v>2454</v>
      </c>
    </row>
    <row r="108" spans="1:8" x14ac:dyDescent="0.25">
      <c r="A108" s="3">
        <v>28</v>
      </c>
      <c r="B108" s="3" t="s">
        <v>2607</v>
      </c>
      <c r="C108" s="4">
        <v>1507</v>
      </c>
      <c r="D108" s="3">
        <v>4</v>
      </c>
      <c r="E108" s="70">
        <v>1591</v>
      </c>
      <c r="F108" s="3">
        <v>1504</v>
      </c>
      <c r="H108" s="3">
        <f t="shared" si="1"/>
        <v>6364</v>
      </c>
    </row>
    <row r="109" spans="1:8" x14ac:dyDescent="0.25">
      <c r="A109" s="3">
        <v>29</v>
      </c>
      <c r="B109" s="3" t="s">
        <v>2608</v>
      </c>
      <c r="C109" s="4">
        <v>1507</v>
      </c>
      <c r="D109" s="3">
        <v>4</v>
      </c>
      <c r="E109" s="70">
        <v>1591</v>
      </c>
      <c r="F109" s="3">
        <v>1504</v>
      </c>
      <c r="G109" s="3"/>
      <c r="H109" s="3">
        <f t="shared" si="1"/>
        <v>6364</v>
      </c>
    </row>
    <row r="110" spans="1:8" x14ac:dyDescent="0.25">
      <c r="A110" s="3">
        <v>30</v>
      </c>
      <c r="B110" s="3" t="s">
        <v>2609</v>
      </c>
      <c r="C110" s="4">
        <v>2014</v>
      </c>
      <c r="D110" s="3">
        <v>2</v>
      </c>
      <c r="E110" s="70">
        <v>1098</v>
      </c>
      <c r="F110" s="3">
        <v>1038</v>
      </c>
      <c r="G110" s="3"/>
      <c r="H110" s="3">
        <f t="shared" si="1"/>
        <v>2196</v>
      </c>
    </row>
    <row r="111" spans="1:8" x14ac:dyDescent="0.25">
      <c r="A111" s="3">
        <v>31</v>
      </c>
      <c r="B111" s="3" t="s">
        <v>2610</v>
      </c>
      <c r="C111" s="4">
        <v>2014</v>
      </c>
      <c r="D111" s="3">
        <v>2</v>
      </c>
      <c r="E111" s="70">
        <v>1098</v>
      </c>
      <c r="F111" s="3">
        <v>1038</v>
      </c>
      <c r="G111" s="3"/>
      <c r="H111" s="3">
        <f t="shared" si="1"/>
        <v>2196</v>
      </c>
    </row>
    <row r="112" spans="1:8" x14ac:dyDescent="0.25">
      <c r="A112" s="3">
        <v>32</v>
      </c>
      <c r="B112" s="3" t="s">
        <v>2611</v>
      </c>
      <c r="C112" s="4">
        <v>2018</v>
      </c>
      <c r="D112" s="3">
        <v>3</v>
      </c>
      <c r="E112" s="70">
        <v>2047</v>
      </c>
      <c r="F112" s="3">
        <v>1842</v>
      </c>
      <c r="H112" s="3">
        <f t="shared" si="1"/>
        <v>6141</v>
      </c>
    </row>
    <row r="113" spans="1:8" x14ac:dyDescent="0.25">
      <c r="A113" s="3">
        <v>33</v>
      </c>
      <c r="B113" s="3" t="s">
        <v>2612</v>
      </c>
      <c r="C113" s="4">
        <v>2018</v>
      </c>
      <c r="D113" s="3">
        <v>2</v>
      </c>
      <c r="E113" s="70">
        <v>2047</v>
      </c>
      <c r="F113" s="3">
        <v>1842</v>
      </c>
      <c r="G113" s="3"/>
      <c r="H113" s="3">
        <f t="shared" si="1"/>
        <v>4094</v>
      </c>
    </row>
    <row r="114" spans="1:8" x14ac:dyDescent="0.25">
      <c r="A114" s="3">
        <v>34</v>
      </c>
      <c r="B114" s="3" t="s">
        <v>2613</v>
      </c>
      <c r="C114" s="4" t="s">
        <v>2602</v>
      </c>
      <c r="D114" s="3">
        <v>4</v>
      </c>
      <c r="E114" s="70">
        <v>886</v>
      </c>
      <c r="F114" s="3">
        <v>725</v>
      </c>
      <c r="G114" s="3"/>
      <c r="H114" s="3">
        <f t="shared" si="1"/>
        <v>3544</v>
      </c>
    </row>
    <row r="115" spans="1:8" x14ac:dyDescent="0.25">
      <c r="A115" s="3">
        <v>35</v>
      </c>
      <c r="B115" s="3" t="s">
        <v>2614</v>
      </c>
      <c r="C115" s="4" t="s">
        <v>2602</v>
      </c>
      <c r="D115" s="3">
        <v>4</v>
      </c>
      <c r="E115" s="70">
        <v>886</v>
      </c>
      <c r="F115" s="3">
        <v>725</v>
      </c>
      <c r="G115" s="3"/>
      <c r="H115" s="3">
        <f t="shared" si="1"/>
        <v>3544</v>
      </c>
    </row>
    <row r="116" spans="1:8" x14ac:dyDescent="0.25">
      <c r="A116" s="3">
        <v>36</v>
      </c>
      <c r="B116" s="3" t="s">
        <v>2625</v>
      </c>
      <c r="C116" s="4">
        <v>1155</v>
      </c>
      <c r="D116" s="3">
        <v>9</v>
      </c>
      <c r="E116" s="70">
        <v>449</v>
      </c>
      <c r="F116" s="3">
        <v>424</v>
      </c>
      <c r="G116" s="3"/>
      <c r="H116" s="3">
        <f t="shared" si="1"/>
        <v>4041</v>
      </c>
    </row>
    <row r="117" spans="1:8" x14ac:dyDescent="0.25">
      <c r="A117" s="3">
        <v>37</v>
      </c>
      <c r="B117" s="3" t="s">
        <v>2626</v>
      </c>
      <c r="C117" s="4">
        <v>1155</v>
      </c>
      <c r="D117" s="3">
        <v>9</v>
      </c>
      <c r="E117" s="70">
        <v>449</v>
      </c>
      <c r="F117" s="3">
        <v>424</v>
      </c>
      <c r="G117" s="3"/>
      <c r="H117" s="3">
        <f t="shared" si="1"/>
        <v>4041</v>
      </c>
    </row>
    <row r="118" spans="1:8" x14ac:dyDescent="0.25">
      <c r="A118" s="3">
        <v>38</v>
      </c>
      <c r="B118" s="3" t="s">
        <v>2627</v>
      </c>
      <c r="C118" s="4" t="s">
        <v>2601</v>
      </c>
      <c r="D118" s="3">
        <v>9</v>
      </c>
      <c r="E118" s="70">
        <v>545</v>
      </c>
      <c r="F118" s="3">
        <v>515</v>
      </c>
      <c r="G118" s="3"/>
      <c r="H118" s="3">
        <f t="shared" si="1"/>
        <v>4905</v>
      </c>
    </row>
    <row r="119" spans="1:8" x14ac:dyDescent="0.25">
      <c r="A119" s="3">
        <v>39</v>
      </c>
      <c r="B119" s="3" t="s">
        <v>2628</v>
      </c>
      <c r="C119" s="4" t="s">
        <v>2601</v>
      </c>
      <c r="D119" s="3">
        <v>8</v>
      </c>
      <c r="E119" s="70">
        <v>545</v>
      </c>
      <c r="F119" s="3">
        <v>515</v>
      </c>
      <c r="G119" s="3"/>
      <c r="H119" s="3">
        <f t="shared" si="1"/>
        <v>4360</v>
      </c>
    </row>
    <row r="120" spans="1:8" x14ac:dyDescent="0.25">
      <c r="A120" s="3">
        <v>40</v>
      </c>
      <c r="B120" s="3" t="s">
        <v>2629</v>
      </c>
      <c r="C120" s="4" t="s">
        <v>2633</v>
      </c>
      <c r="D120" s="3">
        <v>1</v>
      </c>
      <c r="E120" s="70">
        <v>1070</v>
      </c>
      <c r="F120" s="3">
        <v>919</v>
      </c>
      <c r="H120" s="3">
        <f t="shared" si="1"/>
        <v>1070</v>
      </c>
    </row>
    <row r="121" spans="1:8" x14ac:dyDescent="0.25">
      <c r="A121" s="3">
        <v>41</v>
      </c>
      <c r="B121" s="3" t="s">
        <v>2630</v>
      </c>
      <c r="C121" s="4" t="s">
        <v>2633</v>
      </c>
      <c r="D121" s="3">
        <v>0</v>
      </c>
      <c r="E121" s="70">
        <v>1070</v>
      </c>
      <c r="F121" s="3">
        <v>919</v>
      </c>
      <c r="G121" s="3"/>
      <c r="H121" s="3">
        <f t="shared" si="1"/>
        <v>0</v>
      </c>
    </row>
    <row r="122" spans="1:8" x14ac:dyDescent="0.25">
      <c r="A122" s="3">
        <v>42</v>
      </c>
      <c r="B122" s="3" t="s">
        <v>2631</v>
      </c>
      <c r="C122" s="4">
        <v>410</v>
      </c>
      <c r="D122" s="3">
        <v>0</v>
      </c>
      <c r="E122" s="70" t="s">
        <v>3569</v>
      </c>
      <c r="F122" s="3">
        <v>534</v>
      </c>
      <c r="H122" s="3"/>
    </row>
    <row r="123" spans="1:8" x14ac:dyDescent="0.25">
      <c r="A123" s="3">
        <v>43</v>
      </c>
      <c r="B123" s="3" t="s">
        <v>2632</v>
      </c>
      <c r="C123" s="4">
        <v>410</v>
      </c>
      <c r="D123" s="3">
        <v>0</v>
      </c>
      <c r="E123" s="70" t="s">
        <v>3569</v>
      </c>
      <c r="F123" s="3">
        <v>534</v>
      </c>
      <c r="H123" s="3"/>
    </row>
    <row r="124" spans="1:8" x14ac:dyDescent="0.25">
      <c r="A124" s="3">
        <v>44</v>
      </c>
      <c r="B124" s="3" t="s">
        <v>2634</v>
      </c>
      <c r="C124" s="4">
        <v>182</v>
      </c>
      <c r="D124" s="3">
        <v>8</v>
      </c>
      <c r="E124" s="70">
        <v>652</v>
      </c>
      <c r="F124" s="3">
        <v>560</v>
      </c>
      <c r="H124" s="3">
        <f t="shared" si="1"/>
        <v>5216</v>
      </c>
    </row>
    <row r="125" spans="1:8" x14ac:dyDescent="0.25">
      <c r="A125" s="3">
        <v>45</v>
      </c>
      <c r="B125" s="3" t="s">
        <v>2635</v>
      </c>
      <c r="C125" s="4">
        <v>182</v>
      </c>
      <c r="D125" s="3">
        <v>7</v>
      </c>
      <c r="E125" s="70">
        <v>652</v>
      </c>
      <c r="F125" s="3">
        <v>560</v>
      </c>
      <c r="H125" s="3">
        <f t="shared" si="1"/>
        <v>4564</v>
      </c>
    </row>
    <row r="126" spans="1:8" x14ac:dyDescent="0.25">
      <c r="A126" s="3">
        <v>46</v>
      </c>
      <c r="B126" s="3" t="s">
        <v>2636</v>
      </c>
      <c r="C126" s="4" t="s">
        <v>2640</v>
      </c>
      <c r="D126" s="3">
        <v>4</v>
      </c>
      <c r="E126" s="70">
        <v>1792</v>
      </c>
      <c r="F126" s="3">
        <v>1706</v>
      </c>
      <c r="H126" s="3">
        <f t="shared" si="1"/>
        <v>7168</v>
      </c>
    </row>
    <row r="127" spans="1:8" x14ac:dyDescent="0.25">
      <c r="A127" s="3">
        <v>47</v>
      </c>
      <c r="B127" s="3" t="s">
        <v>2637</v>
      </c>
      <c r="C127" s="4" t="s">
        <v>2640</v>
      </c>
      <c r="D127" s="3">
        <v>4</v>
      </c>
      <c r="E127" s="70">
        <v>1792</v>
      </c>
      <c r="F127" s="3">
        <v>1706</v>
      </c>
      <c r="G127" s="3"/>
      <c r="H127" s="3">
        <f t="shared" si="1"/>
        <v>7168</v>
      </c>
    </row>
    <row r="128" spans="1:8" x14ac:dyDescent="0.25">
      <c r="A128" s="3">
        <v>48</v>
      </c>
      <c r="B128" s="3" t="s">
        <v>2638</v>
      </c>
      <c r="C128" s="4" t="s">
        <v>2640</v>
      </c>
      <c r="D128" s="3">
        <v>1</v>
      </c>
      <c r="E128" s="70">
        <v>1792</v>
      </c>
      <c r="F128" s="3">
        <v>1706</v>
      </c>
      <c r="G128" s="3"/>
      <c r="H128" s="3">
        <f t="shared" si="1"/>
        <v>1792</v>
      </c>
    </row>
    <row r="129" spans="1:8" x14ac:dyDescent="0.25">
      <c r="A129" s="3">
        <v>49</v>
      </c>
      <c r="B129" s="3" t="s">
        <v>2639</v>
      </c>
      <c r="C129" s="4" t="s">
        <v>2640</v>
      </c>
      <c r="D129" s="3">
        <v>0</v>
      </c>
      <c r="E129" s="70">
        <v>1792</v>
      </c>
      <c r="F129" s="3">
        <v>1706</v>
      </c>
      <c r="G129" s="3"/>
      <c r="H129" s="3">
        <f t="shared" si="1"/>
        <v>0</v>
      </c>
    </row>
    <row r="130" spans="1:8" x14ac:dyDescent="0.25">
      <c r="A130" s="3">
        <v>50</v>
      </c>
      <c r="B130" s="3" t="s">
        <v>2641</v>
      </c>
      <c r="C130" s="4">
        <v>907</v>
      </c>
      <c r="D130" s="3">
        <v>16</v>
      </c>
      <c r="E130" s="70" t="s">
        <v>3570</v>
      </c>
      <c r="F130" s="3">
        <v>384</v>
      </c>
      <c r="G130" s="3"/>
      <c r="H130" s="3"/>
    </row>
    <row r="131" spans="1:8" x14ac:dyDescent="0.25">
      <c r="A131" s="3">
        <v>51</v>
      </c>
      <c r="B131" s="3" t="s">
        <v>2642</v>
      </c>
      <c r="C131" s="4">
        <v>907</v>
      </c>
      <c r="D131" s="3">
        <v>12</v>
      </c>
      <c r="E131" s="70" t="s">
        <v>3570</v>
      </c>
      <c r="F131" s="3">
        <v>384</v>
      </c>
      <c r="G131" s="3"/>
      <c r="H131" s="3"/>
    </row>
    <row r="132" spans="1:8" x14ac:dyDescent="0.25">
      <c r="A132" s="3">
        <v>52</v>
      </c>
      <c r="B132" s="3" t="s">
        <v>2644</v>
      </c>
      <c r="C132" s="4" t="s">
        <v>2643</v>
      </c>
      <c r="D132" s="3">
        <v>0</v>
      </c>
      <c r="E132" s="70" t="s">
        <v>3570</v>
      </c>
      <c r="F132" s="3">
        <v>384</v>
      </c>
      <c r="H132" s="3"/>
    </row>
    <row r="133" spans="1:8" x14ac:dyDescent="0.25">
      <c r="A133" s="3">
        <v>53</v>
      </c>
      <c r="B133" s="3" t="s">
        <v>2645</v>
      </c>
      <c r="C133" s="4" t="s">
        <v>2643</v>
      </c>
      <c r="D133" s="3">
        <v>0</v>
      </c>
      <c r="E133" s="70" t="s">
        <v>3570</v>
      </c>
      <c r="F133" s="3">
        <v>384</v>
      </c>
      <c r="H133" s="3"/>
    </row>
    <row r="134" spans="1:8" x14ac:dyDescent="0.25">
      <c r="A134" s="3">
        <v>54</v>
      </c>
      <c r="B134" s="3" t="s">
        <v>2653</v>
      </c>
      <c r="C134" s="4" t="s">
        <v>2652</v>
      </c>
      <c r="D134" s="3">
        <v>2</v>
      </c>
      <c r="E134" s="70">
        <v>596</v>
      </c>
      <c r="F134" s="3">
        <v>563</v>
      </c>
      <c r="H134" s="3">
        <f t="shared" si="1"/>
        <v>1192</v>
      </c>
    </row>
    <row r="135" spans="1:8" x14ac:dyDescent="0.25">
      <c r="A135" s="3">
        <v>55</v>
      </c>
      <c r="B135" s="3" t="s">
        <v>2654</v>
      </c>
      <c r="C135" s="4" t="s">
        <v>2652</v>
      </c>
      <c r="D135" s="3">
        <v>2</v>
      </c>
      <c r="E135" s="70">
        <v>596</v>
      </c>
      <c r="F135" s="3">
        <v>563</v>
      </c>
      <c r="H135" s="3">
        <f t="shared" si="1"/>
        <v>1192</v>
      </c>
    </row>
    <row r="136" spans="1:8" x14ac:dyDescent="0.25">
      <c r="A136" s="3">
        <v>56</v>
      </c>
      <c r="B136" s="3" t="s">
        <v>2655</v>
      </c>
      <c r="C136" s="4">
        <v>1501</v>
      </c>
      <c r="D136" s="3">
        <v>4</v>
      </c>
      <c r="E136" s="70">
        <v>710</v>
      </c>
      <c r="F136" s="3">
        <v>670</v>
      </c>
      <c r="H136" s="3">
        <f t="shared" si="1"/>
        <v>2840</v>
      </c>
    </row>
    <row r="137" spans="1:8" x14ac:dyDescent="0.25">
      <c r="A137" s="3">
        <v>57</v>
      </c>
      <c r="B137" s="3" t="s">
        <v>2656</v>
      </c>
      <c r="C137" s="4">
        <v>1501</v>
      </c>
      <c r="D137" s="3">
        <v>4</v>
      </c>
      <c r="E137" s="70">
        <v>710</v>
      </c>
      <c r="F137" s="3">
        <v>670</v>
      </c>
      <c r="H137" s="3">
        <f t="shared" si="1"/>
        <v>2840</v>
      </c>
    </row>
    <row r="138" spans="1:8" x14ac:dyDescent="0.25">
      <c r="A138" s="3">
        <v>58</v>
      </c>
      <c r="B138" s="3" t="s">
        <v>2657</v>
      </c>
      <c r="C138" s="4">
        <v>1271</v>
      </c>
      <c r="D138" s="3">
        <v>2</v>
      </c>
      <c r="E138" s="70">
        <v>825</v>
      </c>
      <c r="F138" s="3" t="s">
        <v>3817</v>
      </c>
      <c r="H138" s="3">
        <f t="shared" si="1"/>
        <v>1650</v>
      </c>
    </row>
    <row r="139" spans="1:8" x14ac:dyDescent="0.25">
      <c r="A139" s="3">
        <v>59</v>
      </c>
      <c r="B139" s="3" t="s">
        <v>2658</v>
      </c>
      <c r="C139" s="4">
        <v>1271</v>
      </c>
      <c r="D139" s="3">
        <v>3</v>
      </c>
      <c r="E139" s="70">
        <v>825</v>
      </c>
      <c r="F139" s="3">
        <v>780</v>
      </c>
      <c r="H139" s="3">
        <f t="shared" si="1"/>
        <v>2475</v>
      </c>
    </row>
    <row r="140" spans="1:8" x14ac:dyDescent="0.25">
      <c r="A140" s="3">
        <v>60</v>
      </c>
      <c r="B140" s="3" t="s">
        <v>2659</v>
      </c>
      <c r="C140" s="4">
        <v>197</v>
      </c>
      <c r="D140" s="3">
        <v>3</v>
      </c>
      <c r="E140" s="70">
        <v>810</v>
      </c>
      <c r="F140" s="3">
        <v>765</v>
      </c>
      <c r="H140" s="3">
        <f t="shared" si="1"/>
        <v>2430</v>
      </c>
    </row>
    <row r="141" spans="1:8" x14ac:dyDescent="0.25">
      <c r="A141" s="3">
        <v>61</v>
      </c>
      <c r="B141" s="3" t="s">
        <v>2660</v>
      </c>
      <c r="C141" s="4">
        <v>197</v>
      </c>
      <c r="D141" s="3">
        <v>2</v>
      </c>
      <c r="E141" s="70">
        <v>810</v>
      </c>
      <c r="F141" s="3">
        <v>765</v>
      </c>
      <c r="H141" s="3">
        <f t="shared" si="1"/>
        <v>1620</v>
      </c>
    </row>
    <row r="142" spans="1:8" x14ac:dyDescent="0.25">
      <c r="A142" s="3">
        <v>62</v>
      </c>
      <c r="B142" s="3" t="s">
        <v>2661</v>
      </c>
      <c r="C142" s="4">
        <v>196</v>
      </c>
      <c r="D142" s="3">
        <v>2</v>
      </c>
      <c r="E142" s="70">
        <v>516</v>
      </c>
      <c r="F142" s="3">
        <v>488</v>
      </c>
      <c r="H142" s="3">
        <f t="shared" si="1"/>
        <v>1032</v>
      </c>
    </row>
    <row r="143" spans="1:8" x14ac:dyDescent="0.25">
      <c r="A143" s="3">
        <v>63</v>
      </c>
      <c r="B143" s="3" t="s">
        <v>2662</v>
      </c>
      <c r="C143" s="4">
        <v>196</v>
      </c>
      <c r="D143" s="3">
        <v>1</v>
      </c>
      <c r="E143" s="70">
        <v>516</v>
      </c>
      <c r="F143" s="3">
        <v>488</v>
      </c>
      <c r="H143" s="3">
        <f t="shared" si="1"/>
        <v>516</v>
      </c>
    </row>
    <row r="144" spans="1:8" x14ac:dyDescent="0.25">
      <c r="A144" s="3">
        <v>64</v>
      </c>
      <c r="B144" s="3" t="s">
        <v>2708</v>
      </c>
      <c r="C144" s="4">
        <v>958</v>
      </c>
      <c r="D144" s="3">
        <v>13</v>
      </c>
      <c r="E144" s="70">
        <v>424</v>
      </c>
      <c r="F144" s="3">
        <v>400</v>
      </c>
      <c r="H144" s="3">
        <f t="shared" si="1"/>
        <v>5512</v>
      </c>
    </row>
    <row r="145" spans="1:8" x14ac:dyDescent="0.25">
      <c r="A145" s="3">
        <v>65</v>
      </c>
      <c r="B145" s="3" t="s">
        <v>2709</v>
      </c>
      <c r="C145" s="4">
        <v>958</v>
      </c>
      <c r="D145" s="3">
        <v>11</v>
      </c>
      <c r="E145" s="70">
        <v>424</v>
      </c>
      <c r="F145" s="3">
        <v>400</v>
      </c>
      <c r="G145" s="3"/>
      <c r="H145" s="3">
        <f t="shared" si="1"/>
        <v>4664</v>
      </c>
    </row>
    <row r="146" spans="1:8" x14ac:dyDescent="0.25">
      <c r="A146" s="3">
        <v>66</v>
      </c>
      <c r="B146" s="3" t="s">
        <v>3146</v>
      </c>
      <c r="C146" s="4" t="s">
        <v>2603</v>
      </c>
      <c r="D146" s="3">
        <v>5</v>
      </c>
      <c r="E146" s="70">
        <v>1226</v>
      </c>
      <c r="F146" s="3">
        <v>1137</v>
      </c>
      <c r="H146" s="3">
        <f t="shared" ref="H146:H183" si="2">D146*E146</f>
        <v>6130</v>
      </c>
    </row>
    <row r="147" spans="1:8" x14ac:dyDescent="0.25">
      <c r="A147" s="3">
        <v>67</v>
      </c>
      <c r="B147" s="3" t="s">
        <v>3147</v>
      </c>
      <c r="C147" s="4" t="s">
        <v>2603</v>
      </c>
      <c r="D147" s="3">
        <v>4</v>
      </c>
      <c r="E147" s="70">
        <v>1226</v>
      </c>
      <c r="F147" s="3">
        <v>1137</v>
      </c>
      <c r="G147" s="3"/>
      <c r="H147" s="3">
        <f t="shared" si="2"/>
        <v>4904</v>
      </c>
    </row>
    <row r="148" spans="1:8" x14ac:dyDescent="0.25">
      <c r="A148" s="3">
        <v>68</v>
      </c>
      <c r="B148" s="3" t="s">
        <v>2844</v>
      </c>
      <c r="C148" s="4" t="s">
        <v>2604</v>
      </c>
      <c r="D148" s="3">
        <v>4</v>
      </c>
      <c r="E148" s="70">
        <v>1226</v>
      </c>
      <c r="F148" s="3">
        <v>1137</v>
      </c>
      <c r="G148" s="3"/>
      <c r="H148" s="3">
        <f t="shared" si="2"/>
        <v>4904</v>
      </c>
    </row>
    <row r="149" spans="1:8" x14ac:dyDescent="0.25">
      <c r="A149" s="3">
        <v>69</v>
      </c>
      <c r="B149" s="3" t="s">
        <v>2845</v>
      </c>
      <c r="C149" s="4" t="s">
        <v>2604</v>
      </c>
      <c r="D149" s="3">
        <v>5</v>
      </c>
      <c r="E149" s="70">
        <v>1226</v>
      </c>
      <c r="F149" s="3">
        <v>1137</v>
      </c>
      <c r="G149" s="3"/>
      <c r="H149" s="3">
        <f t="shared" si="2"/>
        <v>6130</v>
      </c>
    </row>
    <row r="150" spans="1:8" x14ac:dyDescent="0.25">
      <c r="A150" s="3">
        <v>70</v>
      </c>
      <c r="B150" s="3" t="s">
        <v>2672</v>
      </c>
      <c r="C150" s="4">
        <v>1505</v>
      </c>
      <c r="D150" s="3">
        <v>0</v>
      </c>
      <c r="E150" s="70">
        <v>708</v>
      </c>
      <c r="F150" s="3">
        <v>616</v>
      </c>
      <c r="H150" s="3">
        <f t="shared" si="2"/>
        <v>0</v>
      </c>
    </row>
    <row r="151" spans="1:8" x14ac:dyDescent="0.25">
      <c r="A151" s="3">
        <v>71</v>
      </c>
      <c r="B151" s="3" t="s">
        <v>2673</v>
      </c>
      <c r="C151" s="4">
        <v>1505</v>
      </c>
      <c r="D151" s="3">
        <v>0</v>
      </c>
      <c r="E151" s="70">
        <v>708</v>
      </c>
      <c r="F151" s="3">
        <v>616</v>
      </c>
      <c r="H151" s="3">
        <f t="shared" si="2"/>
        <v>0</v>
      </c>
    </row>
    <row r="152" spans="1:8" x14ac:dyDescent="0.25">
      <c r="A152" s="3">
        <v>72</v>
      </c>
      <c r="B152" s="3" t="s">
        <v>2675</v>
      </c>
      <c r="C152" s="4">
        <v>12002</v>
      </c>
      <c r="D152" s="3">
        <v>1</v>
      </c>
      <c r="E152" s="70">
        <v>1708</v>
      </c>
      <c r="F152" s="3">
        <v>1706</v>
      </c>
      <c r="H152" s="3">
        <f t="shared" si="2"/>
        <v>1708</v>
      </c>
    </row>
    <row r="153" spans="1:8" x14ac:dyDescent="0.25">
      <c r="A153" s="3">
        <v>73</v>
      </c>
      <c r="B153" s="3" t="s">
        <v>2676</v>
      </c>
      <c r="C153" s="4">
        <v>12002</v>
      </c>
      <c r="D153" s="3">
        <v>0</v>
      </c>
      <c r="E153" s="70">
        <v>1708</v>
      </c>
      <c r="F153" s="3">
        <v>1706</v>
      </c>
      <c r="H153" s="3">
        <f t="shared" si="2"/>
        <v>0</v>
      </c>
    </row>
    <row r="154" spans="1:8" x14ac:dyDescent="0.25">
      <c r="A154" s="3">
        <v>74</v>
      </c>
      <c r="B154" s="3" t="s">
        <v>2677</v>
      </c>
      <c r="C154" s="4" t="s">
        <v>2674</v>
      </c>
      <c r="D154" s="3">
        <v>4</v>
      </c>
      <c r="E154" s="70">
        <v>1177</v>
      </c>
      <c r="F154" s="3">
        <v>1112</v>
      </c>
      <c r="H154" s="3">
        <f t="shared" si="2"/>
        <v>4708</v>
      </c>
    </row>
    <row r="155" spans="1:8" x14ac:dyDescent="0.25">
      <c r="A155" s="3">
        <v>75</v>
      </c>
      <c r="B155" s="3" t="s">
        <v>2678</v>
      </c>
      <c r="C155" s="4" t="s">
        <v>2674</v>
      </c>
      <c r="D155" s="3">
        <v>4</v>
      </c>
      <c r="E155" s="70">
        <v>1177</v>
      </c>
      <c r="F155" s="3">
        <v>1112</v>
      </c>
      <c r="G155" s="3"/>
      <c r="H155" s="3">
        <f t="shared" si="2"/>
        <v>4708</v>
      </c>
    </row>
    <row r="156" spans="1:8" x14ac:dyDescent="0.25">
      <c r="A156" s="3">
        <v>76</v>
      </c>
      <c r="B156" s="3" t="s">
        <v>2705</v>
      </c>
      <c r="C156" s="4">
        <v>940</v>
      </c>
      <c r="D156" s="3">
        <v>0</v>
      </c>
      <c r="E156" s="70">
        <v>2560</v>
      </c>
      <c r="F156" s="3">
        <v>2499</v>
      </c>
      <c r="G156" s="3"/>
      <c r="H156" s="3">
        <f t="shared" si="2"/>
        <v>0</v>
      </c>
    </row>
    <row r="157" spans="1:8" x14ac:dyDescent="0.25">
      <c r="A157" s="3">
        <v>77</v>
      </c>
      <c r="B157" s="3" t="s">
        <v>2706</v>
      </c>
      <c r="C157" s="4">
        <v>940</v>
      </c>
      <c r="D157" s="3">
        <v>0</v>
      </c>
      <c r="E157" s="70">
        <v>2560</v>
      </c>
      <c r="F157" s="3">
        <v>2499</v>
      </c>
      <c r="G157" s="3"/>
      <c r="H157" s="3">
        <f t="shared" si="2"/>
        <v>0</v>
      </c>
    </row>
    <row r="158" spans="1:8" x14ac:dyDescent="0.25">
      <c r="A158" s="3">
        <v>78</v>
      </c>
      <c r="B158" s="3" t="s">
        <v>2707</v>
      </c>
      <c r="C158" s="4">
        <v>941</v>
      </c>
      <c r="D158" s="3">
        <v>0</v>
      </c>
      <c r="E158" s="70">
        <v>2560</v>
      </c>
      <c r="F158" s="3">
        <v>2499</v>
      </c>
      <c r="G158" s="3"/>
      <c r="H158" s="3">
        <f t="shared" si="2"/>
        <v>0</v>
      </c>
    </row>
    <row r="159" spans="1:8" x14ac:dyDescent="0.25">
      <c r="A159" s="3">
        <v>79</v>
      </c>
      <c r="B159" s="3" t="s">
        <v>3142</v>
      </c>
      <c r="C159" s="4">
        <v>941</v>
      </c>
      <c r="D159" s="3">
        <v>0</v>
      </c>
      <c r="E159" s="70">
        <v>2560</v>
      </c>
      <c r="F159" s="3">
        <v>2499</v>
      </c>
      <c r="G159" s="3"/>
      <c r="H159" s="3">
        <f t="shared" si="2"/>
        <v>0</v>
      </c>
    </row>
    <row r="160" spans="1:8" x14ac:dyDescent="0.25">
      <c r="A160" s="3">
        <v>80</v>
      </c>
      <c r="B160" s="3" t="s">
        <v>2684</v>
      </c>
      <c r="C160" s="4">
        <v>117</v>
      </c>
      <c r="D160" s="3">
        <v>6</v>
      </c>
      <c r="E160" s="70">
        <v>1284</v>
      </c>
      <c r="F160" s="3">
        <v>1142</v>
      </c>
      <c r="G160" s="3"/>
      <c r="H160" s="3">
        <f t="shared" si="2"/>
        <v>7704</v>
      </c>
    </row>
    <row r="161" spans="1:8" x14ac:dyDescent="0.25">
      <c r="A161" s="3">
        <v>81</v>
      </c>
      <c r="B161" s="3" t="s">
        <v>2685</v>
      </c>
      <c r="C161" s="4">
        <v>117</v>
      </c>
      <c r="D161" s="3">
        <v>4</v>
      </c>
      <c r="E161" s="70">
        <v>1284</v>
      </c>
      <c r="F161" s="3">
        <v>1142</v>
      </c>
      <c r="G161" s="3"/>
      <c r="H161" s="3">
        <f t="shared" si="2"/>
        <v>5136</v>
      </c>
    </row>
    <row r="162" spans="1:8" x14ac:dyDescent="0.25">
      <c r="A162" s="3">
        <v>82</v>
      </c>
      <c r="B162" s="3" t="s">
        <v>2686</v>
      </c>
      <c r="C162" s="4">
        <v>6041</v>
      </c>
      <c r="D162" s="3">
        <v>1</v>
      </c>
      <c r="E162" s="70">
        <v>1241</v>
      </c>
      <c r="F162" s="3">
        <v>1119</v>
      </c>
      <c r="H162" s="3">
        <f t="shared" si="2"/>
        <v>1241</v>
      </c>
    </row>
    <row r="163" spans="1:8" x14ac:dyDescent="0.25">
      <c r="A163" s="3">
        <v>83</v>
      </c>
      <c r="B163" s="3" t="s">
        <v>2687</v>
      </c>
      <c r="C163" s="4">
        <v>6041</v>
      </c>
      <c r="D163" s="3">
        <v>1</v>
      </c>
      <c r="E163" s="70">
        <v>1241</v>
      </c>
      <c r="F163" s="3">
        <v>1119</v>
      </c>
      <c r="H163" s="3">
        <f t="shared" si="2"/>
        <v>1241</v>
      </c>
    </row>
    <row r="164" spans="1:8" x14ac:dyDescent="0.25">
      <c r="A164" s="3">
        <v>84</v>
      </c>
      <c r="B164" s="3" t="s">
        <v>2688</v>
      </c>
      <c r="C164" s="4">
        <v>12001</v>
      </c>
      <c r="D164" s="3">
        <v>0</v>
      </c>
      <c r="E164" s="70">
        <v>3200</v>
      </c>
      <c r="F164" s="3">
        <v>2900</v>
      </c>
      <c r="H164" s="3">
        <f t="shared" si="2"/>
        <v>0</v>
      </c>
    </row>
    <row r="165" spans="1:8" x14ac:dyDescent="0.25">
      <c r="A165" s="3">
        <v>85</v>
      </c>
      <c r="B165" s="3" t="s">
        <v>2689</v>
      </c>
      <c r="C165" s="4">
        <v>12001</v>
      </c>
      <c r="D165" s="3">
        <v>0</v>
      </c>
      <c r="E165" s="70">
        <v>3200</v>
      </c>
      <c r="F165" s="3">
        <v>2900</v>
      </c>
      <c r="H165" s="3">
        <f t="shared" si="2"/>
        <v>0</v>
      </c>
    </row>
    <row r="166" spans="1:8" x14ac:dyDescent="0.25">
      <c r="A166" s="3">
        <v>86</v>
      </c>
      <c r="B166" s="3" t="s">
        <v>2690</v>
      </c>
      <c r="C166" s="4">
        <v>2004</v>
      </c>
      <c r="D166" s="3">
        <v>1</v>
      </c>
      <c r="E166" s="70">
        <v>684</v>
      </c>
      <c r="F166" s="3">
        <v>593</v>
      </c>
      <c r="H166" s="3">
        <f t="shared" si="2"/>
        <v>684</v>
      </c>
    </row>
    <row r="167" spans="1:8" x14ac:dyDescent="0.25">
      <c r="A167" s="3">
        <v>87</v>
      </c>
      <c r="B167" s="3" t="s">
        <v>2692</v>
      </c>
      <c r="C167" s="4">
        <v>2004</v>
      </c>
      <c r="D167" s="3">
        <v>2</v>
      </c>
      <c r="E167" s="70">
        <v>684</v>
      </c>
      <c r="F167" s="3">
        <v>593</v>
      </c>
      <c r="H167" s="3">
        <f t="shared" si="2"/>
        <v>1368</v>
      </c>
    </row>
    <row r="168" spans="1:8" x14ac:dyDescent="0.25">
      <c r="A168" s="3">
        <v>88</v>
      </c>
      <c r="B168" s="3" t="s">
        <v>2693</v>
      </c>
      <c r="C168" s="4" t="s">
        <v>2691</v>
      </c>
      <c r="D168" s="3">
        <v>3</v>
      </c>
      <c r="E168" s="70">
        <v>684</v>
      </c>
      <c r="F168" s="3">
        <v>593</v>
      </c>
      <c r="H168" s="3">
        <f t="shared" si="2"/>
        <v>2052</v>
      </c>
    </row>
    <row r="169" spans="1:8" x14ac:dyDescent="0.25">
      <c r="A169" s="3">
        <v>89</v>
      </c>
      <c r="B169" s="3" t="s">
        <v>2694</v>
      </c>
      <c r="C169" s="4" t="s">
        <v>2691</v>
      </c>
      <c r="D169" s="3">
        <v>1</v>
      </c>
      <c r="E169" s="70">
        <v>684</v>
      </c>
      <c r="F169" s="3">
        <v>593</v>
      </c>
      <c r="H169" s="3">
        <f t="shared" si="2"/>
        <v>684</v>
      </c>
    </row>
    <row r="170" spans="1:8" x14ac:dyDescent="0.25">
      <c r="A170" s="3">
        <v>90</v>
      </c>
      <c r="B170" s="3" t="s">
        <v>2695</v>
      </c>
      <c r="C170" s="4">
        <v>2008</v>
      </c>
      <c r="D170" s="3">
        <v>1</v>
      </c>
      <c r="E170" s="70">
        <v>856</v>
      </c>
      <c r="F170" s="3">
        <v>706</v>
      </c>
      <c r="H170" s="3">
        <f t="shared" si="2"/>
        <v>856</v>
      </c>
    </row>
    <row r="171" spans="1:8" x14ac:dyDescent="0.25">
      <c r="A171" s="3">
        <v>91</v>
      </c>
      <c r="B171" s="3" t="s">
        <v>2696</v>
      </c>
      <c r="C171" s="4">
        <v>2008</v>
      </c>
      <c r="D171" s="3">
        <v>0</v>
      </c>
      <c r="E171" s="70">
        <v>856</v>
      </c>
      <c r="F171" s="3">
        <v>706</v>
      </c>
      <c r="H171" s="3">
        <f t="shared" si="2"/>
        <v>0</v>
      </c>
    </row>
    <row r="172" spans="1:8" x14ac:dyDescent="0.25">
      <c r="A172" s="3">
        <v>92</v>
      </c>
      <c r="B172" s="3" t="s">
        <v>2698</v>
      </c>
      <c r="C172" s="4">
        <v>5009</v>
      </c>
      <c r="D172" s="3">
        <v>4</v>
      </c>
      <c r="E172" s="70">
        <v>774</v>
      </c>
      <c r="F172" s="3">
        <v>732</v>
      </c>
      <c r="H172" s="3">
        <f t="shared" si="2"/>
        <v>3096</v>
      </c>
    </row>
    <row r="173" spans="1:8" x14ac:dyDescent="0.25">
      <c r="A173" s="3">
        <v>93</v>
      </c>
      <c r="B173" s="3" t="s">
        <v>2699</v>
      </c>
      <c r="C173" s="4">
        <v>5009</v>
      </c>
      <c r="D173" s="3">
        <v>5</v>
      </c>
      <c r="E173" s="70">
        <v>774</v>
      </c>
      <c r="F173" s="3">
        <v>732</v>
      </c>
      <c r="H173" s="3">
        <f t="shared" si="2"/>
        <v>3870</v>
      </c>
    </row>
    <row r="174" spans="1:8" x14ac:dyDescent="0.25">
      <c r="A174" s="3">
        <v>94</v>
      </c>
      <c r="B174" s="3" t="s">
        <v>2868</v>
      </c>
      <c r="C174" s="4">
        <v>195</v>
      </c>
      <c r="D174" s="3">
        <v>3</v>
      </c>
      <c r="E174" s="70">
        <v>810</v>
      </c>
      <c r="F174" s="3">
        <v>672</v>
      </c>
      <c r="H174" s="3">
        <f t="shared" si="2"/>
        <v>2430</v>
      </c>
    </row>
    <row r="175" spans="1:8" x14ac:dyDescent="0.25">
      <c r="A175" s="3">
        <v>95</v>
      </c>
      <c r="B175" s="3" t="s">
        <v>2700</v>
      </c>
      <c r="C175" s="4">
        <v>195</v>
      </c>
      <c r="D175" s="3">
        <v>0</v>
      </c>
      <c r="E175" s="70">
        <v>810</v>
      </c>
      <c r="F175" s="3">
        <v>672</v>
      </c>
      <c r="H175" s="3">
        <f t="shared" si="2"/>
        <v>0</v>
      </c>
    </row>
    <row r="176" spans="1:8" x14ac:dyDescent="0.25">
      <c r="A176" s="3">
        <v>96</v>
      </c>
      <c r="B176" s="3" t="s">
        <v>2701</v>
      </c>
      <c r="C176" s="4" t="s">
        <v>2697</v>
      </c>
      <c r="D176" s="3">
        <v>6</v>
      </c>
      <c r="E176" s="70">
        <v>710</v>
      </c>
      <c r="F176" s="3">
        <v>670</v>
      </c>
      <c r="H176" s="3">
        <f t="shared" si="2"/>
        <v>4260</v>
      </c>
    </row>
    <row r="177" spans="1:8" x14ac:dyDescent="0.25">
      <c r="A177" s="3">
        <v>97</v>
      </c>
      <c r="B177" s="3" t="s">
        <v>2702</v>
      </c>
      <c r="C177" s="4" t="s">
        <v>2697</v>
      </c>
      <c r="D177" s="3">
        <v>6</v>
      </c>
      <c r="E177" s="70">
        <v>710</v>
      </c>
      <c r="F177" s="3">
        <v>670</v>
      </c>
      <c r="H177" s="3">
        <f t="shared" si="2"/>
        <v>4260</v>
      </c>
    </row>
    <row r="178" spans="1:8" x14ac:dyDescent="0.25">
      <c r="B178" s="3" t="s">
        <v>2827</v>
      </c>
      <c r="C178" s="4">
        <v>1153</v>
      </c>
      <c r="D178" s="3">
        <v>0</v>
      </c>
      <c r="E178" s="70">
        <v>267</v>
      </c>
      <c r="F178" s="3">
        <v>247</v>
      </c>
      <c r="H178" s="3">
        <f t="shared" si="2"/>
        <v>0</v>
      </c>
    </row>
    <row r="179" spans="1:8" x14ac:dyDescent="0.25">
      <c r="B179" s="3" t="s">
        <v>2828</v>
      </c>
      <c r="C179" s="4">
        <v>1153</v>
      </c>
      <c r="D179" s="3">
        <v>0</v>
      </c>
      <c r="E179" s="70">
        <v>267</v>
      </c>
      <c r="F179" s="3">
        <v>247</v>
      </c>
      <c r="H179" s="3">
        <f t="shared" si="2"/>
        <v>0</v>
      </c>
    </row>
    <row r="180" spans="1:8" x14ac:dyDescent="0.25">
      <c r="B180" s="3" t="s">
        <v>2829</v>
      </c>
      <c r="C180" s="4">
        <v>955</v>
      </c>
      <c r="D180" s="3">
        <v>0</v>
      </c>
      <c r="E180" s="70">
        <v>318</v>
      </c>
      <c r="F180" s="3">
        <v>294</v>
      </c>
      <c r="H180" s="3">
        <f t="shared" si="2"/>
        <v>0</v>
      </c>
    </row>
    <row r="181" spans="1:8" x14ac:dyDescent="0.25">
      <c r="B181" s="3" t="s">
        <v>2830</v>
      </c>
      <c r="C181" s="4">
        <v>955</v>
      </c>
      <c r="D181" s="3">
        <v>0</v>
      </c>
      <c r="E181" s="70">
        <v>318</v>
      </c>
      <c r="F181" s="3">
        <v>294</v>
      </c>
      <c r="H181" s="3">
        <f t="shared" si="2"/>
        <v>0</v>
      </c>
    </row>
    <row r="182" spans="1:8" s="3" customFormat="1" x14ac:dyDescent="0.25">
      <c r="B182" s="3" t="s">
        <v>3111</v>
      </c>
      <c r="C182" s="4">
        <v>1151</v>
      </c>
      <c r="D182" s="3">
        <v>5</v>
      </c>
      <c r="E182" s="70">
        <v>295</v>
      </c>
      <c r="F182" s="3">
        <v>279</v>
      </c>
      <c r="H182" s="3">
        <f t="shared" si="2"/>
        <v>1475</v>
      </c>
    </row>
    <row r="183" spans="1:8" s="3" customFormat="1" x14ac:dyDescent="0.25">
      <c r="B183" s="3" t="s">
        <v>3112</v>
      </c>
      <c r="C183" s="4">
        <v>1151</v>
      </c>
      <c r="D183" s="3">
        <v>4</v>
      </c>
      <c r="E183" s="70">
        <v>295</v>
      </c>
      <c r="F183" s="3">
        <v>279</v>
      </c>
      <c r="H183" s="3">
        <f t="shared" si="2"/>
        <v>1180</v>
      </c>
    </row>
    <row r="184" spans="1:8" s="3" customFormat="1" x14ac:dyDescent="0.25">
      <c r="C184" s="4"/>
      <c r="E184" s="70"/>
    </row>
    <row r="185" spans="1:8" s="3" customFormat="1" x14ac:dyDescent="0.25">
      <c r="C185" s="4"/>
      <c r="E185" s="70"/>
      <c r="H185" s="3">
        <f>SUM(H80:H184)</f>
        <v>224390</v>
      </c>
    </row>
    <row r="186" spans="1:8" s="3" customFormat="1" x14ac:dyDescent="0.25">
      <c r="B186" s="3" t="s">
        <v>3165</v>
      </c>
      <c r="C186" s="4">
        <v>1701</v>
      </c>
      <c r="D186" s="3">
        <v>0</v>
      </c>
      <c r="E186" s="70"/>
      <c r="F186" s="3">
        <v>173</v>
      </c>
    </row>
    <row r="187" spans="1:8" s="3" customFormat="1" x14ac:dyDescent="0.25">
      <c r="B187" s="3" t="s">
        <v>3165</v>
      </c>
      <c r="C187" s="4" t="s">
        <v>3166</v>
      </c>
      <c r="D187" s="3">
        <v>0</v>
      </c>
      <c r="E187" s="70"/>
      <c r="F187" s="3">
        <v>239</v>
      </c>
    </row>
    <row r="188" spans="1:8" s="3" customFormat="1" x14ac:dyDescent="0.25">
      <c r="B188" s="3" t="s">
        <v>3167</v>
      </c>
      <c r="C188" s="4">
        <v>1602</v>
      </c>
      <c r="E188" s="70"/>
      <c r="F188" s="3">
        <v>194</v>
      </c>
    </row>
    <row r="189" spans="1:8" s="3" customFormat="1" x14ac:dyDescent="0.25">
      <c r="B189" s="3" t="s">
        <v>3168</v>
      </c>
      <c r="C189" s="4">
        <v>1302</v>
      </c>
      <c r="E189" s="70"/>
      <c r="F189" s="3">
        <v>172</v>
      </c>
    </row>
    <row r="190" spans="1:8" s="3" customFormat="1" x14ac:dyDescent="0.25">
      <c r="B190" s="3" t="s">
        <v>3169</v>
      </c>
      <c r="C190" s="4">
        <v>1225</v>
      </c>
      <c r="E190" s="70"/>
      <c r="F190" s="3">
        <v>104</v>
      </c>
    </row>
    <row r="191" spans="1:8" s="3" customFormat="1" x14ac:dyDescent="0.25">
      <c r="B191" s="3" t="s">
        <v>3169</v>
      </c>
      <c r="C191" s="4">
        <v>1059</v>
      </c>
      <c r="D191" s="3">
        <v>0</v>
      </c>
      <c r="E191" s="70"/>
      <c r="F191" s="3">
        <v>164</v>
      </c>
    </row>
    <row r="192" spans="1:8" s="3" customFormat="1" x14ac:dyDescent="0.25">
      <c r="B192" s="3" t="s">
        <v>3170</v>
      </c>
      <c r="C192" s="4">
        <v>1651</v>
      </c>
      <c r="E192" s="70"/>
      <c r="F192" s="3">
        <v>237</v>
      </c>
    </row>
    <row r="193" spans="2:8" s="3" customFormat="1" x14ac:dyDescent="0.25">
      <c r="B193" s="3" t="s">
        <v>3171</v>
      </c>
      <c r="C193" s="4">
        <v>1158</v>
      </c>
      <c r="E193" s="70">
        <v>208</v>
      </c>
      <c r="F193" s="3">
        <v>219</v>
      </c>
    </row>
    <row r="194" spans="2:8" s="3" customFormat="1" x14ac:dyDescent="0.25">
      <c r="B194" s="3" t="s">
        <v>3172</v>
      </c>
      <c r="C194" s="4">
        <v>951</v>
      </c>
      <c r="E194" s="70">
        <v>233</v>
      </c>
      <c r="F194" s="3">
        <v>215</v>
      </c>
    </row>
    <row r="195" spans="2:8" s="3" customFormat="1" x14ac:dyDescent="0.25">
      <c r="B195" s="3" t="s">
        <v>3174</v>
      </c>
      <c r="C195" s="4" t="s">
        <v>3173</v>
      </c>
      <c r="E195" s="70"/>
      <c r="F195" s="3">
        <v>248</v>
      </c>
    </row>
    <row r="196" spans="2:8" s="3" customFormat="1" x14ac:dyDescent="0.25">
      <c r="B196" s="3" t="s">
        <v>3175</v>
      </c>
      <c r="C196" s="4">
        <v>1227</v>
      </c>
      <c r="D196" s="3">
        <v>10</v>
      </c>
      <c r="E196" s="70"/>
      <c r="F196" s="3">
        <v>84</v>
      </c>
    </row>
    <row r="197" spans="2:8" x14ac:dyDescent="0.25">
      <c r="H197" s="3"/>
    </row>
    <row r="198" spans="2:8" x14ac:dyDescent="0.25">
      <c r="H198" s="3"/>
    </row>
    <row r="199" spans="2:8" x14ac:dyDescent="0.25">
      <c r="B199" s="3" t="s">
        <v>2994</v>
      </c>
      <c r="C199" s="4">
        <v>11001</v>
      </c>
      <c r="D199" s="3">
        <v>2</v>
      </c>
      <c r="E199" s="70">
        <v>384</v>
      </c>
      <c r="F199" s="3">
        <v>338</v>
      </c>
      <c r="H199" s="3"/>
    </row>
    <row r="200" spans="2:8" x14ac:dyDescent="0.25">
      <c r="B200" s="3" t="s">
        <v>2995</v>
      </c>
      <c r="C200" s="4">
        <v>11003</v>
      </c>
      <c r="D200" s="3">
        <v>4</v>
      </c>
      <c r="E200" s="70">
        <v>960</v>
      </c>
      <c r="F200" s="3">
        <v>883</v>
      </c>
      <c r="H200" s="3"/>
    </row>
    <row r="201" spans="2:8" x14ac:dyDescent="0.25">
      <c r="B201" s="3" t="s">
        <v>2996</v>
      </c>
      <c r="C201" s="4" t="s">
        <v>2997</v>
      </c>
      <c r="D201" s="3">
        <v>1</v>
      </c>
      <c r="E201" s="70">
        <v>960</v>
      </c>
      <c r="F201" s="3">
        <v>883</v>
      </c>
      <c r="H201" s="3"/>
    </row>
    <row r="202" spans="2:8" x14ac:dyDescent="0.25">
      <c r="B202" s="3" t="s">
        <v>2996</v>
      </c>
      <c r="C202" s="4" t="s">
        <v>2998</v>
      </c>
      <c r="D202" s="3">
        <v>2</v>
      </c>
      <c r="E202" s="70">
        <v>960</v>
      </c>
      <c r="F202" s="3">
        <v>883</v>
      </c>
      <c r="H202" s="3"/>
    </row>
    <row r="203" spans="2:8" s="3" customFormat="1" x14ac:dyDescent="0.25">
      <c r="B203" s="3" t="s">
        <v>3120</v>
      </c>
      <c r="C203" s="4" t="s">
        <v>3121</v>
      </c>
      <c r="D203" s="3">
        <v>0</v>
      </c>
      <c r="E203" s="70">
        <v>1110</v>
      </c>
      <c r="F203" s="3">
        <v>977</v>
      </c>
    </row>
    <row r="204" spans="2:8" s="3" customFormat="1" x14ac:dyDescent="0.25">
      <c r="C204" s="4"/>
      <c r="E204" s="70"/>
    </row>
    <row r="205" spans="2:8" x14ac:dyDescent="0.25">
      <c r="H205" s="3"/>
    </row>
    <row r="206" spans="2:8" x14ac:dyDescent="0.25">
      <c r="B206" s="3" t="s">
        <v>3085</v>
      </c>
      <c r="C206" s="4" t="s">
        <v>3084</v>
      </c>
      <c r="D206" s="3">
        <v>10</v>
      </c>
      <c r="H206" s="3"/>
    </row>
    <row r="207" spans="2:8" x14ac:dyDescent="0.25">
      <c r="B207" s="3" t="s">
        <v>3086</v>
      </c>
      <c r="C207" s="4" t="s">
        <v>3088</v>
      </c>
      <c r="D207" s="3">
        <v>0</v>
      </c>
      <c r="E207" s="70">
        <v>142</v>
      </c>
      <c r="F207" s="3">
        <v>131</v>
      </c>
      <c r="H207" s="3"/>
    </row>
    <row r="208" spans="2:8" x14ac:dyDescent="0.25">
      <c r="B208" s="3" t="s">
        <v>3087</v>
      </c>
      <c r="C208" s="4" t="s">
        <v>3089</v>
      </c>
      <c r="D208" s="3">
        <v>0</v>
      </c>
      <c r="E208" s="70">
        <v>144</v>
      </c>
      <c r="F208" s="3">
        <v>133</v>
      </c>
      <c r="H208" s="3"/>
    </row>
    <row r="209" spans="1:9" x14ac:dyDescent="0.25">
      <c r="B209" s="3" t="s">
        <v>3116</v>
      </c>
      <c r="C209" s="4" t="s">
        <v>3113</v>
      </c>
      <c r="D209" s="3">
        <v>0</v>
      </c>
      <c r="E209" s="70">
        <v>79</v>
      </c>
      <c r="F209" s="3">
        <v>76</v>
      </c>
      <c r="H209" s="3"/>
    </row>
    <row r="210" spans="1:9" x14ac:dyDescent="0.25">
      <c r="B210" s="3" t="s">
        <v>3117</v>
      </c>
      <c r="C210" s="4" t="s">
        <v>3114</v>
      </c>
      <c r="D210" s="3" t="s">
        <v>3115</v>
      </c>
      <c r="E210" s="70">
        <v>87</v>
      </c>
      <c r="F210" s="3">
        <v>82</v>
      </c>
      <c r="H210" s="3"/>
    </row>
    <row r="211" spans="1:9" x14ac:dyDescent="0.25">
      <c r="B211" s="3" t="s">
        <v>3118</v>
      </c>
      <c r="C211" s="4" t="s">
        <v>3119</v>
      </c>
      <c r="D211" s="3">
        <v>0</v>
      </c>
      <c r="E211" s="70">
        <v>97</v>
      </c>
      <c r="F211" s="3">
        <v>94</v>
      </c>
      <c r="H211" s="3"/>
    </row>
    <row r="222" spans="1:9" x14ac:dyDescent="0.25">
      <c r="A222" s="3"/>
      <c r="B222" s="3"/>
    </row>
    <row r="223" spans="1:9" x14ac:dyDescent="0.25">
      <c r="A223" s="3"/>
      <c r="B223" s="3"/>
    </row>
    <row r="224" spans="1:9" ht="18" x14ac:dyDescent="0.25">
      <c r="A224" s="3"/>
      <c r="B224" s="66"/>
      <c r="H224" s="3"/>
      <c r="I224" s="3"/>
    </row>
    <row r="225" spans="1:9" x14ac:dyDescent="0.25">
      <c r="A225" s="3"/>
      <c r="B225" s="3"/>
      <c r="H225" s="3"/>
      <c r="I225" s="3"/>
    </row>
    <row r="226" spans="1:9" x14ac:dyDescent="0.25">
      <c r="A226" s="3"/>
      <c r="B226" s="3"/>
      <c r="H226" s="3"/>
      <c r="I226" s="3"/>
    </row>
    <row r="227" spans="1:9" x14ac:dyDescent="0.25">
      <c r="A227" s="3"/>
      <c r="B227" s="3"/>
      <c r="H227" s="3"/>
      <c r="I227" s="3"/>
    </row>
    <row r="228" spans="1:9" x14ac:dyDescent="0.25">
      <c r="A228" s="3"/>
      <c r="B228" s="3"/>
      <c r="H228" s="3"/>
      <c r="I228" s="3"/>
    </row>
    <row r="229" spans="1:9" x14ac:dyDescent="0.25">
      <c r="A229" s="3"/>
      <c r="B229" s="3"/>
      <c r="H229" s="3"/>
      <c r="I229" s="3"/>
    </row>
    <row r="230" spans="1:9" x14ac:dyDescent="0.25">
      <c r="A230" s="3"/>
      <c r="B230" s="3"/>
      <c r="H230" s="3"/>
      <c r="I230" s="3"/>
    </row>
    <row r="231" spans="1:9" x14ac:dyDescent="0.25">
      <c r="A231" s="3"/>
      <c r="B231" s="3"/>
      <c r="H231" s="3"/>
      <c r="I231" s="3"/>
    </row>
    <row r="232" spans="1:9" x14ac:dyDescent="0.25">
      <c r="A232" s="3"/>
      <c r="B232" s="3"/>
      <c r="H232" s="3"/>
      <c r="I232" s="3"/>
    </row>
    <row r="233" spans="1:9" x14ac:dyDescent="0.25">
      <c r="A233" s="3"/>
      <c r="B233" s="3"/>
      <c r="H233" s="3"/>
      <c r="I233" s="3"/>
    </row>
    <row r="234" spans="1:9" x14ac:dyDescent="0.25">
      <c r="A234" s="3"/>
      <c r="B234" s="3"/>
      <c r="H234" s="3"/>
      <c r="I234" s="3"/>
    </row>
    <row r="235" spans="1:9" x14ac:dyDescent="0.25">
      <c r="A235" s="3"/>
      <c r="B235" s="3"/>
      <c r="H235" s="3"/>
      <c r="I235" s="3"/>
    </row>
    <row r="236" spans="1:9" x14ac:dyDescent="0.25">
      <c r="A236" s="3"/>
      <c r="B236" s="3"/>
      <c r="H236" s="3"/>
      <c r="I236" s="3"/>
    </row>
    <row r="237" spans="1:9" x14ac:dyDescent="0.25">
      <c r="A237" s="3"/>
      <c r="B237" s="3"/>
      <c r="H237" s="3"/>
      <c r="I237" s="3"/>
    </row>
    <row r="238" spans="1:9" x14ac:dyDescent="0.25">
      <c r="A238" s="3"/>
      <c r="B238" s="3"/>
      <c r="H238" s="3"/>
      <c r="I238" s="3"/>
    </row>
    <row r="239" spans="1:9" ht="18" x14ac:dyDescent="0.25">
      <c r="A239" s="3"/>
      <c r="B239" s="66"/>
      <c r="H239" s="3"/>
      <c r="I239" s="3"/>
    </row>
    <row r="240" spans="1:9" x14ac:dyDescent="0.25">
      <c r="A240" s="3"/>
      <c r="B240" s="3"/>
      <c r="H240" s="3"/>
      <c r="I240" s="3"/>
    </row>
    <row r="241" spans="1:9" x14ac:dyDescent="0.25">
      <c r="A241" s="3"/>
      <c r="B241" s="3"/>
      <c r="H241" s="3"/>
      <c r="I241" s="3"/>
    </row>
    <row r="242" spans="1:9" x14ac:dyDescent="0.25">
      <c r="A242" s="3"/>
      <c r="B242" s="3"/>
      <c r="H242" s="3"/>
      <c r="I242" s="3"/>
    </row>
    <row r="243" spans="1:9" x14ac:dyDescent="0.25">
      <c r="A243" s="3"/>
      <c r="B243" s="3"/>
      <c r="H243" s="3"/>
      <c r="I243" s="3"/>
    </row>
    <row r="244" spans="1:9" x14ac:dyDescent="0.25">
      <c r="A244" s="3"/>
      <c r="B244" s="3"/>
      <c r="H244" s="3"/>
      <c r="I244" s="3"/>
    </row>
    <row r="245" spans="1:9" x14ac:dyDescent="0.25">
      <c r="A245" s="3"/>
      <c r="B245" s="3"/>
      <c r="H245" s="3"/>
      <c r="I245" s="3"/>
    </row>
    <row r="246" spans="1:9" x14ac:dyDescent="0.25">
      <c r="A246" s="3"/>
      <c r="B246" s="3"/>
      <c r="H246" s="3"/>
      <c r="I246" s="3"/>
    </row>
    <row r="247" spans="1:9" x14ac:dyDescent="0.25">
      <c r="A247" s="3"/>
      <c r="B247" s="3"/>
      <c r="H247" s="3"/>
      <c r="I247" s="3"/>
    </row>
    <row r="248" spans="1:9" x14ac:dyDescent="0.25">
      <c r="A248" s="3"/>
      <c r="B248" s="3"/>
      <c r="H248" s="3"/>
      <c r="I248" s="3"/>
    </row>
    <row r="249" spans="1:9" x14ac:dyDescent="0.25">
      <c r="A249" s="3"/>
      <c r="B249" s="3"/>
      <c r="H249" s="3"/>
      <c r="I249" s="3"/>
    </row>
    <row r="250" spans="1:9" x14ac:dyDescent="0.25">
      <c r="A250" s="3"/>
      <c r="B250" s="3"/>
      <c r="H250" s="3"/>
      <c r="I250" s="3"/>
    </row>
    <row r="251" spans="1:9" x14ac:dyDescent="0.25">
      <c r="A251" s="3"/>
      <c r="B251" s="3"/>
      <c r="H251" s="3"/>
      <c r="I251" s="3"/>
    </row>
    <row r="252" spans="1:9" x14ac:dyDescent="0.25">
      <c r="A252" s="3"/>
      <c r="B252" s="3"/>
      <c r="H252" s="3"/>
      <c r="I252" s="3"/>
    </row>
    <row r="253" spans="1:9" x14ac:dyDescent="0.25">
      <c r="A253" s="3"/>
      <c r="B253" s="3"/>
      <c r="H253" s="3"/>
      <c r="I253" s="3"/>
    </row>
    <row r="254" spans="1:9" x14ac:dyDescent="0.25">
      <c r="A254" s="3"/>
      <c r="B254" s="3"/>
      <c r="H254" s="3"/>
      <c r="I254" s="3"/>
    </row>
    <row r="255" spans="1:9" x14ac:dyDescent="0.25">
      <c r="A255" s="3"/>
      <c r="B255" s="3"/>
      <c r="H255" s="3"/>
      <c r="I255" s="3"/>
    </row>
    <row r="256" spans="1:9" x14ac:dyDescent="0.25">
      <c r="A256" s="3"/>
      <c r="B256" s="3"/>
      <c r="H256" s="3"/>
      <c r="I256" s="3"/>
    </row>
    <row r="257" spans="1:9" x14ac:dyDescent="0.25">
      <c r="A257" s="3"/>
      <c r="B257" s="3"/>
      <c r="H257" s="3"/>
      <c r="I257" s="3"/>
    </row>
    <row r="258" spans="1:9" x14ac:dyDescent="0.25">
      <c r="A258" s="3"/>
      <c r="B258" s="3"/>
      <c r="H258" s="3"/>
      <c r="I258" s="3"/>
    </row>
    <row r="259" spans="1:9" x14ac:dyDescent="0.25">
      <c r="A259" s="3"/>
      <c r="B259" s="3"/>
      <c r="H259" s="3"/>
      <c r="I259" s="3"/>
    </row>
    <row r="260" spans="1:9" x14ac:dyDescent="0.25">
      <c r="A260" s="3"/>
      <c r="B260" s="3"/>
      <c r="H260" s="3"/>
      <c r="I260" s="3"/>
    </row>
    <row r="261" spans="1:9" x14ac:dyDescent="0.25">
      <c r="A261" s="3"/>
      <c r="B261" s="3"/>
      <c r="H261" s="3"/>
      <c r="I261" s="3"/>
    </row>
    <row r="262" spans="1:9" x14ac:dyDescent="0.25">
      <c r="A262" s="3"/>
      <c r="B262" s="3"/>
      <c r="H262" s="3"/>
      <c r="I262" s="3"/>
    </row>
    <row r="263" spans="1:9" x14ac:dyDescent="0.25">
      <c r="A263" s="3"/>
      <c r="B263" s="3"/>
      <c r="H263" s="3"/>
      <c r="I263" s="3"/>
    </row>
    <row r="264" spans="1:9" x14ac:dyDescent="0.25">
      <c r="A264" s="3"/>
      <c r="B264" s="3"/>
      <c r="H264" s="3"/>
      <c r="I264" s="3"/>
    </row>
    <row r="265" spans="1:9" x14ac:dyDescent="0.25">
      <c r="A265" s="3"/>
      <c r="B265" s="3"/>
      <c r="H265" s="3"/>
      <c r="I265" s="3"/>
    </row>
    <row r="266" spans="1:9" x14ac:dyDescent="0.25">
      <c r="A266" s="3"/>
      <c r="B266" s="3"/>
      <c r="H266" s="3"/>
      <c r="I266" s="3"/>
    </row>
    <row r="267" spans="1:9" x14ac:dyDescent="0.25">
      <c r="A267" s="3"/>
      <c r="B267" s="3"/>
      <c r="H267" s="3"/>
      <c r="I267" s="3"/>
    </row>
    <row r="268" spans="1:9" x14ac:dyDescent="0.25">
      <c r="A268" s="3"/>
      <c r="B268" s="3"/>
      <c r="H268" s="3"/>
      <c r="I268" s="3"/>
    </row>
    <row r="269" spans="1:9" x14ac:dyDescent="0.25">
      <c r="A269" s="3"/>
      <c r="B269" s="3"/>
      <c r="H269" s="3"/>
      <c r="I269" s="3"/>
    </row>
    <row r="270" spans="1:9" x14ac:dyDescent="0.25">
      <c r="A270" s="3"/>
      <c r="B270" s="3"/>
      <c r="H270" s="3"/>
      <c r="I270" s="3"/>
    </row>
    <row r="271" spans="1:9" x14ac:dyDescent="0.25">
      <c r="A271" s="3"/>
      <c r="B271" s="3"/>
      <c r="H271" s="3"/>
      <c r="I271" s="3"/>
    </row>
    <row r="272" spans="1:9" x14ac:dyDescent="0.25">
      <c r="A272" s="3"/>
      <c r="B272" s="3"/>
      <c r="H272" s="3"/>
      <c r="I272" s="3"/>
    </row>
    <row r="273" spans="1:9" x14ac:dyDescent="0.25">
      <c r="A273" s="3"/>
      <c r="B273" s="3"/>
      <c r="H273" s="3"/>
      <c r="I273" s="3"/>
    </row>
    <row r="274" spans="1:9" x14ac:dyDescent="0.25">
      <c r="A274" s="3"/>
      <c r="B274" s="3"/>
      <c r="H274" s="3"/>
      <c r="I274" s="3"/>
    </row>
    <row r="275" spans="1:9" x14ac:dyDescent="0.25">
      <c r="A275" s="3"/>
      <c r="B275" s="3"/>
      <c r="H275" s="3"/>
      <c r="I275" s="3"/>
    </row>
    <row r="276" spans="1:9" x14ac:dyDescent="0.25">
      <c r="A276" s="3"/>
      <c r="B276" s="3"/>
      <c r="H276" s="3"/>
      <c r="I276" s="3"/>
    </row>
    <row r="277" spans="1:9" x14ac:dyDescent="0.25">
      <c r="A277" s="3"/>
      <c r="B277" s="3"/>
      <c r="H277" s="3"/>
      <c r="I277" s="3"/>
    </row>
    <row r="278" spans="1:9" x14ac:dyDescent="0.25">
      <c r="A278" s="3"/>
      <c r="B278" s="3"/>
      <c r="H278" s="3"/>
      <c r="I278" s="3"/>
    </row>
    <row r="279" spans="1:9" x14ac:dyDescent="0.25">
      <c r="A279" s="3"/>
      <c r="B279" s="3"/>
      <c r="H279" s="3"/>
      <c r="I279" s="3"/>
    </row>
    <row r="280" spans="1:9" x14ac:dyDescent="0.25">
      <c r="A280" s="3"/>
      <c r="B280" s="3"/>
      <c r="H280" s="3"/>
      <c r="I280" s="3"/>
    </row>
    <row r="281" spans="1:9" x14ac:dyDescent="0.25">
      <c r="A281" s="3"/>
      <c r="B281" s="3"/>
      <c r="H281" s="3"/>
      <c r="I281" s="3"/>
    </row>
    <row r="282" spans="1:9" x14ac:dyDescent="0.25">
      <c r="A282" s="3"/>
      <c r="B282" s="3"/>
      <c r="H282" s="3"/>
      <c r="I282" s="3"/>
    </row>
    <row r="283" spans="1:9" x14ac:dyDescent="0.25">
      <c r="A283" s="3"/>
      <c r="B283" s="3"/>
      <c r="H283" s="3"/>
      <c r="I283" s="3"/>
    </row>
    <row r="284" spans="1:9" x14ac:dyDescent="0.25">
      <c r="A284" s="3"/>
      <c r="B284" s="3"/>
      <c r="H284" s="3"/>
      <c r="I284" s="3"/>
    </row>
    <row r="285" spans="1:9" x14ac:dyDescent="0.25">
      <c r="A285" s="3"/>
      <c r="B285" s="3"/>
      <c r="H285" s="3"/>
      <c r="I285" s="3"/>
    </row>
    <row r="286" spans="1:9" x14ac:dyDescent="0.25">
      <c r="A286" s="3"/>
      <c r="B286" s="3"/>
      <c r="H286" s="3"/>
      <c r="I286" s="3"/>
    </row>
    <row r="287" spans="1:9" x14ac:dyDescent="0.25">
      <c r="A287" s="3"/>
      <c r="B287" s="3"/>
      <c r="H287" s="3"/>
      <c r="I287" s="3"/>
    </row>
    <row r="288" spans="1:9" x14ac:dyDescent="0.25">
      <c r="A288" s="3"/>
      <c r="B288" s="3"/>
      <c r="H288" s="3"/>
      <c r="I288" s="3"/>
    </row>
    <row r="289" spans="1:9" x14ac:dyDescent="0.25">
      <c r="A289" s="3"/>
      <c r="B289" s="3"/>
      <c r="H289" s="3"/>
      <c r="I289" s="3"/>
    </row>
    <row r="290" spans="1:9" x14ac:dyDescent="0.25">
      <c r="A290" s="3"/>
      <c r="B290" s="3"/>
      <c r="H290" s="3"/>
      <c r="I290" s="3"/>
    </row>
    <row r="291" spans="1:9" x14ac:dyDescent="0.25">
      <c r="A291" s="3"/>
      <c r="B291" s="3"/>
      <c r="H291" s="3"/>
      <c r="I291" s="3"/>
    </row>
    <row r="292" spans="1:9" x14ac:dyDescent="0.25">
      <c r="A292" s="3"/>
      <c r="B292" s="3"/>
      <c r="H292" s="3"/>
      <c r="I292" s="3"/>
    </row>
    <row r="293" spans="1:9" x14ac:dyDescent="0.25">
      <c r="A293" s="3"/>
      <c r="B293" s="3"/>
      <c r="H293" s="3"/>
      <c r="I293" s="3"/>
    </row>
    <row r="294" spans="1:9" x14ac:dyDescent="0.25">
      <c r="A294" s="3"/>
      <c r="B294" s="3"/>
      <c r="H294" s="3"/>
      <c r="I294" s="3"/>
    </row>
    <row r="295" spans="1:9" x14ac:dyDescent="0.25">
      <c r="A295" s="3"/>
      <c r="B295" s="3"/>
      <c r="H295" s="3"/>
      <c r="I295" s="3"/>
    </row>
    <row r="296" spans="1:9" x14ac:dyDescent="0.25">
      <c r="A296" s="3"/>
      <c r="B296" s="3"/>
      <c r="H296" s="3"/>
      <c r="I296" s="3"/>
    </row>
    <row r="297" spans="1:9" x14ac:dyDescent="0.25">
      <c r="A297" s="3"/>
      <c r="B297" s="3"/>
      <c r="H297" s="3"/>
      <c r="I297" s="3"/>
    </row>
    <row r="298" spans="1:9" x14ac:dyDescent="0.25">
      <c r="A298" s="3"/>
      <c r="B298" s="3"/>
      <c r="H298" s="3"/>
      <c r="I298" s="3"/>
    </row>
    <row r="299" spans="1:9" x14ac:dyDescent="0.25">
      <c r="A299" s="3"/>
      <c r="B299" s="3"/>
      <c r="H299" s="3"/>
      <c r="I299" s="3"/>
    </row>
    <row r="300" spans="1:9" x14ac:dyDescent="0.25">
      <c r="A300" s="3"/>
      <c r="B300" s="3"/>
      <c r="H300" s="3"/>
      <c r="I300" s="3"/>
    </row>
    <row r="301" spans="1:9" x14ac:dyDescent="0.25">
      <c r="A301" s="3"/>
      <c r="B301" s="3"/>
      <c r="H301" s="3"/>
      <c r="I301" s="3"/>
    </row>
    <row r="302" spans="1:9" x14ac:dyDescent="0.25">
      <c r="A302" s="3"/>
      <c r="B302" s="3"/>
      <c r="H302" s="3"/>
      <c r="I302" s="3"/>
    </row>
    <row r="303" spans="1:9" x14ac:dyDescent="0.25">
      <c r="A303" s="3"/>
      <c r="B303" s="3"/>
      <c r="H303" s="3"/>
      <c r="I303" s="3"/>
    </row>
    <row r="304" spans="1:9" x14ac:dyDescent="0.25">
      <c r="A304" s="3"/>
      <c r="B304" s="3"/>
      <c r="H304" s="3"/>
      <c r="I304" s="3"/>
    </row>
    <row r="305" spans="1:9" x14ac:dyDescent="0.25">
      <c r="A305" s="3"/>
      <c r="B305" s="3"/>
      <c r="H305" s="3"/>
      <c r="I305" s="3"/>
    </row>
    <row r="306" spans="1:9" x14ac:dyDescent="0.25">
      <c r="A306" s="3"/>
      <c r="B306" s="3"/>
      <c r="H306" s="3"/>
      <c r="I306" s="3"/>
    </row>
    <row r="307" spans="1:9" x14ac:dyDescent="0.25">
      <c r="A307" s="3"/>
      <c r="B307" s="3"/>
      <c r="H307" s="3"/>
      <c r="I307" s="3"/>
    </row>
    <row r="308" spans="1:9" x14ac:dyDescent="0.25">
      <c r="A308" s="3"/>
      <c r="B308" s="3"/>
      <c r="H308" s="3"/>
      <c r="I308" s="3"/>
    </row>
    <row r="309" spans="1:9" x14ac:dyDescent="0.25">
      <c r="A309" s="3"/>
      <c r="B309" s="3"/>
      <c r="H309" s="3"/>
      <c r="I309" s="3"/>
    </row>
    <row r="310" spans="1:9" x14ac:dyDescent="0.25">
      <c r="A310" s="3"/>
      <c r="B310" s="3"/>
      <c r="H310" s="3"/>
      <c r="I310" s="3"/>
    </row>
    <row r="311" spans="1:9" x14ac:dyDescent="0.25">
      <c r="A311" s="3"/>
      <c r="B311" s="3"/>
      <c r="H311" s="3"/>
      <c r="I311" s="3"/>
    </row>
    <row r="312" spans="1:9" x14ac:dyDescent="0.25">
      <c r="A312" s="3"/>
      <c r="B312" s="3"/>
      <c r="H312" s="3"/>
      <c r="I312" s="3"/>
    </row>
    <row r="313" spans="1:9" x14ac:dyDescent="0.25">
      <c r="H313" s="3"/>
      <c r="I313" s="3"/>
    </row>
    <row r="314" spans="1:9" x14ac:dyDescent="0.25">
      <c r="H314" s="3"/>
      <c r="I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8"/>
  <sheetViews>
    <sheetView topLeftCell="A14" workbookViewId="0">
      <selection activeCell="D27" sqref="D27"/>
    </sheetView>
  </sheetViews>
  <sheetFormatPr defaultRowHeight="15" x14ac:dyDescent="0.25"/>
  <cols>
    <col min="2" max="2" width="14.85546875" customWidth="1"/>
    <col min="3" max="3" width="14.85546875" style="3" customWidth="1"/>
    <col min="4" max="4" width="40" customWidth="1"/>
  </cols>
  <sheetData>
    <row r="1" spans="1:6" ht="15.75" x14ac:dyDescent="0.25">
      <c r="A1" s="72" t="s">
        <v>592</v>
      </c>
      <c r="B1" s="74" t="s">
        <v>449</v>
      </c>
      <c r="C1" s="74"/>
      <c r="D1" s="72" t="s">
        <v>593</v>
      </c>
      <c r="E1" s="72" t="s">
        <v>1312</v>
      </c>
      <c r="F1" s="72" t="s">
        <v>595</v>
      </c>
    </row>
    <row r="3" spans="1:6" x14ac:dyDescent="0.25">
      <c r="A3">
        <v>1</v>
      </c>
      <c r="B3" s="3" t="s">
        <v>2873</v>
      </c>
      <c r="C3" s="3" t="s">
        <v>2925</v>
      </c>
      <c r="D3" s="3" t="s">
        <v>2874</v>
      </c>
      <c r="E3">
        <v>0</v>
      </c>
      <c r="F3">
        <v>2739</v>
      </c>
    </row>
    <row r="4" spans="1:6" x14ac:dyDescent="0.25">
      <c r="A4">
        <v>2</v>
      </c>
      <c r="B4" s="3" t="s">
        <v>2875</v>
      </c>
      <c r="C4" s="3" t="s">
        <v>2926</v>
      </c>
      <c r="D4" s="3" t="s">
        <v>2876</v>
      </c>
      <c r="E4">
        <v>1</v>
      </c>
      <c r="F4">
        <v>2739</v>
      </c>
    </row>
    <row r="5" spans="1:6" x14ac:dyDescent="0.25">
      <c r="A5" s="3">
        <v>3</v>
      </c>
      <c r="B5" s="3" t="s">
        <v>2877</v>
      </c>
      <c r="C5" s="3" t="s">
        <v>2926</v>
      </c>
      <c r="D5" s="3" t="s">
        <v>2878</v>
      </c>
      <c r="E5">
        <v>0</v>
      </c>
      <c r="F5">
        <v>2812</v>
      </c>
    </row>
    <row r="6" spans="1:6" x14ac:dyDescent="0.25">
      <c r="A6" s="3">
        <v>4</v>
      </c>
      <c r="B6" s="3" t="s">
        <v>2879</v>
      </c>
      <c r="C6" s="3" t="s">
        <v>2926</v>
      </c>
      <c r="D6" s="3" t="s">
        <v>2880</v>
      </c>
      <c r="E6">
        <v>1</v>
      </c>
      <c r="F6">
        <v>4833</v>
      </c>
    </row>
    <row r="7" spans="1:6" x14ac:dyDescent="0.25">
      <c r="A7" s="3">
        <v>5</v>
      </c>
      <c r="B7" s="3" t="s">
        <v>2881</v>
      </c>
      <c r="C7" s="3" t="s">
        <v>2926</v>
      </c>
      <c r="D7" s="3" t="s">
        <v>2882</v>
      </c>
      <c r="E7">
        <v>0</v>
      </c>
      <c r="F7">
        <v>4899</v>
      </c>
    </row>
    <row r="8" spans="1:6" x14ac:dyDescent="0.25">
      <c r="A8" s="3">
        <v>6</v>
      </c>
      <c r="B8" s="3" t="s">
        <v>2883</v>
      </c>
      <c r="C8" s="3" t="s">
        <v>2926</v>
      </c>
      <c r="D8" s="3" t="s">
        <v>2884</v>
      </c>
      <c r="E8">
        <v>1</v>
      </c>
      <c r="F8">
        <v>4899</v>
      </c>
    </row>
    <row r="9" spans="1:6" x14ac:dyDescent="0.25">
      <c r="A9" s="3">
        <v>7</v>
      </c>
      <c r="B9" s="3" t="s">
        <v>2885</v>
      </c>
      <c r="C9" s="3" t="s">
        <v>2926</v>
      </c>
      <c r="D9" s="3" t="s">
        <v>2886</v>
      </c>
      <c r="E9">
        <v>1</v>
      </c>
      <c r="F9">
        <v>2072</v>
      </c>
    </row>
    <row r="10" spans="1:6" x14ac:dyDescent="0.25">
      <c r="A10" s="3">
        <v>8</v>
      </c>
      <c r="B10" s="3" t="s">
        <v>2887</v>
      </c>
      <c r="C10" s="3" t="s">
        <v>2926</v>
      </c>
      <c r="D10" s="3" t="s">
        <v>2888</v>
      </c>
      <c r="E10">
        <v>1</v>
      </c>
      <c r="F10">
        <v>1043</v>
      </c>
    </row>
    <row r="11" spans="1:6" x14ac:dyDescent="0.25">
      <c r="A11" s="3">
        <v>9</v>
      </c>
      <c r="B11" s="3" t="s">
        <v>2889</v>
      </c>
      <c r="C11" s="3" t="s">
        <v>2926</v>
      </c>
      <c r="D11" s="3" t="s">
        <v>2890</v>
      </c>
      <c r="E11">
        <v>1</v>
      </c>
      <c r="F11">
        <v>941</v>
      </c>
    </row>
    <row r="12" spans="1:6" x14ac:dyDescent="0.25">
      <c r="A12" s="3">
        <v>10</v>
      </c>
      <c r="B12" s="3" t="s">
        <v>2891</v>
      </c>
      <c r="C12" s="3" t="s">
        <v>2926</v>
      </c>
      <c r="D12" s="3" t="s">
        <v>2892</v>
      </c>
      <c r="E12">
        <v>1</v>
      </c>
      <c r="F12">
        <v>941</v>
      </c>
    </row>
    <row r="13" spans="1:6" x14ac:dyDescent="0.25">
      <c r="A13" s="3">
        <v>11</v>
      </c>
      <c r="B13" s="3" t="s">
        <v>2893</v>
      </c>
      <c r="C13" s="3" t="s">
        <v>2926</v>
      </c>
      <c r="D13" s="3" t="s">
        <v>2894</v>
      </c>
      <c r="E13">
        <v>1</v>
      </c>
      <c r="F13">
        <v>2978</v>
      </c>
    </row>
    <row r="14" spans="1:6" x14ac:dyDescent="0.25">
      <c r="A14" s="3">
        <v>12</v>
      </c>
      <c r="B14" s="3" t="s">
        <v>2895</v>
      </c>
      <c r="C14" s="3" t="s">
        <v>2926</v>
      </c>
      <c r="D14" s="3" t="s">
        <v>2896</v>
      </c>
      <c r="E14">
        <v>1</v>
      </c>
      <c r="F14">
        <v>2958</v>
      </c>
    </row>
    <row r="15" spans="1:6" x14ac:dyDescent="0.25">
      <c r="A15" s="3">
        <v>13</v>
      </c>
      <c r="B15" s="3" t="s">
        <v>2897</v>
      </c>
      <c r="C15" s="3" t="s">
        <v>2926</v>
      </c>
      <c r="D15" s="3" t="s">
        <v>2898</v>
      </c>
      <c r="E15">
        <v>1</v>
      </c>
      <c r="F15">
        <v>3064</v>
      </c>
    </row>
    <row r="16" spans="1:6" x14ac:dyDescent="0.25">
      <c r="A16" s="3">
        <v>14</v>
      </c>
      <c r="B16" s="3" t="s">
        <v>2899</v>
      </c>
      <c r="C16" s="3" t="s">
        <v>2926</v>
      </c>
      <c r="D16" s="3" t="s">
        <v>2900</v>
      </c>
      <c r="E16">
        <v>1</v>
      </c>
      <c r="F16">
        <v>3064</v>
      </c>
    </row>
    <row r="17" spans="1:6" x14ac:dyDescent="0.25">
      <c r="A17" s="3">
        <v>15</v>
      </c>
      <c r="B17" s="3" t="s">
        <v>2901</v>
      </c>
      <c r="C17" s="3" t="s">
        <v>2926</v>
      </c>
      <c r="D17" s="3" t="s">
        <v>2902</v>
      </c>
      <c r="E17">
        <v>1</v>
      </c>
      <c r="F17">
        <v>4107</v>
      </c>
    </row>
    <row r="18" spans="1:6" x14ac:dyDescent="0.25">
      <c r="A18" s="3">
        <v>16</v>
      </c>
      <c r="B18" s="3" t="s">
        <v>2903</v>
      </c>
      <c r="C18" s="3" t="s">
        <v>2926</v>
      </c>
      <c r="D18" s="3" t="s">
        <v>2904</v>
      </c>
      <c r="E18">
        <v>1</v>
      </c>
      <c r="F18">
        <v>1207</v>
      </c>
    </row>
    <row r="19" spans="1:6" x14ac:dyDescent="0.25">
      <c r="A19" s="3">
        <v>17</v>
      </c>
      <c r="B19" s="3" t="s">
        <v>2905</v>
      </c>
      <c r="C19" s="3" t="s">
        <v>2926</v>
      </c>
      <c r="D19" s="3" t="s">
        <v>2906</v>
      </c>
      <c r="E19">
        <v>1</v>
      </c>
      <c r="F19">
        <v>1207</v>
      </c>
    </row>
    <row r="20" spans="1:6" x14ac:dyDescent="0.25">
      <c r="A20" s="3">
        <v>18</v>
      </c>
      <c r="B20" s="3" t="s">
        <v>2907</v>
      </c>
      <c r="C20" s="3" t="s">
        <v>2926</v>
      </c>
      <c r="D20" s="3" t="s">
        <v>2908</v>
      </c>
      <c r="E20">
        <v>1</v>
      </c>
      <c r="F20">
        <v>919</v>
      </c>
    </row>
    <row r="21" spans="1:6" x14ac:dyDescent="0.25">
      <c r="A21" s="3">
        <v>19</v>
      </c>
      <c r="B21" s="3" t="s">
        <v>2909</v>
      </c>
      <c r="C21" s="3" t="s">
        <v>2926</v>
      </c>
      <c r="D21" s="3" t="s">
        <v>2910</v>
      </c>
      <c r="E21">
        <v>1</v>
      </c>
      <c r="F21">
        <v>1059</v>
      </c>
    </row>
    <row r="22" spans="1:6" x14ac:dyDescent="0.25">
      <c r="A22" s="3">
        <v>20</v>
      </c>
      <c r="B22" s="3" t="s">
        <v>2911</v>
      </c>
      <c r="C22" s="3" t="s">
        <v>2926</v>
      </c>
      <c r="D22" s="3" t="s">
        <v>2912</v>
      </c>
      <c r="E22">
        <v>0</v>
      </c>
      <c r="F22">
        <v>1663</v>
      </c>
    </row>
    <row r="23" spans="1:6" x14ac:dyDescent="0.25">
      <c r="A23" s="3">
        <v>21</v>
      </c>
      <c r="B23" s="3" t="s">
        <v>2913</v>
      </c>
      <c r="C23" s="3" t="s">
        <v>2926</v>
      </c>
      <c r="D23" s="3" t="s">
        <v>2914</v>
      </c>
      <c r="E23">
        <v>0</v>
      </c>
      <c r="F23">
        <v>977</v>
      </c>
    </row>
    <row r="24" spans="1:6" x14ac:dyDescent="0.25">
      <c r="A24" s="3">
        <v>22</v>
      </c>
      <c r="B24" s="3" t="s">
        <v>2915</v>
      </c>
      <c r="C24" s="3" t="s">
        <v>2926</v>
      </c>
      <c r="D24" s="3" t="s">
        <v>2917</v>
      </c>
      <c r="E24">
        <v>1</v>
      </c>
      <c r="F24">
        <v>2327</v>
      </c>
    </row>
    <row r="25" spans="1:6" x14ac:dyDescent="0.25">
      <c r="A25" s="3">
        <v>23</v>
      </c>
      <c r="B25" s="3" t="s">
        <v>2916</v>
      </c>
      <c r="C25" s="3" t="s">
        <v>2926</v>
      </c>
      <c r="D25" s="3" t="s">
        <v>2918</v>
      </c>
      <c r="E25">
        <v>1</v>
      </c>
      <c r="F25">
        <v>2355</v>
      </c>
    </row>
    <row r="26" spans="1:6" x14ac:dyDescent="0.25">
      <c r="A26" s="3">
        <v>24</v>
      </c>
      <c r="B26" s="3" t="s">
        <v>2919</v>
      </c>
      <c r="C26" s="3" t="s">
        <v>2926</v>
      </c>
      <c r="D26" s="3" t="s">
        <v>2920</v>
      </c>
      <c r="E26">
        <v>0</v>
      </c>
      <c r="F26">
        <v>2377</v>
      </c>
    </row>
    <row r="27" spans="1:6" x14ac:dyDescent="0.25">
      <c r="A27" s="3">
        <v>25</v>
      </c>
      <c r="B27" s="3" t="s">
        <v>2921</v>
      </c>
      <c r="C27" s="3" t="s">
        <v>2925</v>
      </c>
      <c r="D27" s="3" t="s">
        <v>2922</v>
      </c>
      <c r="E27">
        <v>1</v>
      </c>
      <c r="F27">
        <v>1702</v>
      </c>
    </row>
    <row r="28" spans="1:6" x14ac:dyDescent="0.25">
      <c r="A28" s="3">
        <v>26</v>
      </c>
      <c r="B28" s="3" t="s">
        <v>2923</v>
      </c>
      <c r="C28" s="3" t="s">
        <v>2926</v>
      </c>
      <c r="D28" s="3" t="s">
        <v>2924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4"/>
  <sheetViews>
    <sheetView workbookViewId="0">
      <selection activeCell="H17" sqref="H17"/>
    </sheetView>
  </sheetViews>
  <sheetFormatPr defaultRowHeight="15" x14ac:dyDescent="0.2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 x14ac:dyDescent="0.25">
      <c r="A2" s="78" t="s">
        <v>592</v>
      </c>
      <c r="B2" s="78" t="s">
        <v>3242</v>
      </c>
      <c r="C2" s="78" t="s">
        <v>449</v>
      </c>
      <c r="D2" s="78" t="s">
        <v>1312</v>
      </c>
      <c r="E2" s="78" t="s">
        <v>595</v>
      </c>
    </row>
    <row r="3" spans="1:5" ht="15.75" x14ac:dyDescent="0.25">
      <c r="A3" s="77">
        <v>1</v>
      </c>
      <c r="B3" s="77">
        <v>12</v>
      </c>
      <c r="C3" s="77">
        <v>950012</v>
      </c>
      <c r="D3" s="77">
        <v>91</v>
      </c>
      <c r="E3" s="77">
        <v>120</v>
      </c>
    </row>
    <row r="4" spans="1:5" ht="15.75" x14ac:dyDescent="0.25">
      <c r="A4" s="77">
        <v>2</v>
      </c>
      <c r="B4" s="77">
        <v>13</v>
      </c>
      <c r="C4" s="77">
        <v>950013</v>
      </c>
      <c r="D4" s="77">
        <v>60</v>
      </c>
      <c r="E4" s="77">
        <v>120</v>
      </c>
    </row>
    <row r="5" spans="1:5" ht="15.75" x14ac:dyDescent="0.25">
      <c r="A5" s="77">
        <v>3</v>
      </c>
      <c r="B5" s="77">
        <v>14</v>
      </c>
      <c r="C5" s="77">
        <v>950014</v>
      </c>
      <c r="D5" s="77">
        <v>138</v>
      </c>
      <c r="E5" s="77">
        <v>130</v>
      </c>
    </row>
    <row r="6" spans="1:5" ht="15.75" x14ac:dyDescent="0.25">
      <c r="A6" s="77">
        <v>4</v>
      </c>
      <c r="B6" s="77">
        <v>15</v>
      </c>
      <c r="C6" s="77">
        <v>950015</v>
      </c>
      <c r="D6" s="77">
        <v>45</v>
      </c>
      <c r="E6" s="77">
        <v>130</v>
      </c>
    </row>
    <row r="7" spans="1:5" s="3" customFormat="1" ht="15.75" x14ac:dyDescent="0.25">
      <c r="A7" s="77">
        <v>5</v>
      </c>
      <c r="B7" s="77">
        <v>16</v>
      </c>
      <c r="C7" s="77">
        <v>950016</v>
      </c>
      <c r="D7" s="77">
        <v>130</v>
      </c>
      <c r="E7" s="77">
        <v>135</v>
      </c>
    </row>
    <row r="8" spans="1:5" ht="15.75" x14ac:dyDescent="0.25">
      <c r="A8" s="77">
        <v>6</v>
      </c>
      <c r="B8" s="77">
        <v>17</v>
      </c>
      <c r="C8" s="77">
        <v>950017</v>
      </c>
      <c r="D8" s="77">
        <v>40</v>
      </c>
      <c r="E8" s="77">
        <v>160</v>
      </c>
    </row>
    <row r="9" spans="1:5" ht="15.75" x14ac:dyDescent="0.25">
      <c r="A9" s="77">
        <v>7</v>
      </c>
      <c r="B9" s="77">
        <v>18</v>
      </c>
      <c r="C9" s="77">
        <v>950018</v>
      </c>
      <c r="D9" s="77">
        <v>116</v>
      </c>
      <c r="E9" s="77">
        <v>165</v>
      </c>
    </row>
    <row r="10" spans="1:5" ht="15.75" x14ac:dyDescent="0.25">
      <c r="A10" s="77">
        <v>8</v>
      </c>
      <c r="B10" s="77">
        <v>19</v>
      </c>
      <c r="C10" s="77">
        <v>950019</v>
      </c>
      <c r="D10" s="77">
        <v>120</v>
      </c>
      <c r="E10" s="77">
        <v>170</v>
      </c>
    </row>
    <row r="11" spans="1:5" ht="15.75" x14ac:dyDescent="0.25">
      <c r="A11" s="77">
        <v>9</v>
      </c>
      <c r="B11" s="77">
        <v>20</v>
      </c>
      <c r="C11" s="77">
        <v>950020</v>
      </c>
      <c r="D11" s="77">
        <v>70</v>
      </c>
      <c r="E11" s="77">
        <v>180</v>
      </c>
    </row>
    <row r="12" spans="1:5" ht="15.75" x14ac:dyDescent="0.25">
      <c r="A12" s="77">
        <v>10</v>
      </c>
      <c r="B12" s="77">
        <v>21</v>
      </c>
      <c r="C12" s="77">
        <v>950021</v>
      </c>
      <c r="D12" s="77">
        <v>66</v>
      </c>
      <c r="E12" s="77">
        <v>195</v>
      </c>
    </row>
    <row r="13" spans="1:5" ht="15.75" x14ac:dyDescent="0.25">
      <c r="A13" s="77">
        <v>11</v>
      </c>
      <c r="B13" s="77">
        <v>22</v>
      </c>
      <c r="C13" s="77">
        <v>950022</v>
      </c>
      <c r="D13" s="77">
        <v>90</v>
      </c>
      <c r="E13" s="77">
        <v>200</v>
      </c>
    </row>
    <row r="14" spans="1:5" ht="15.75" x14ac:dyDescent="0.25">
      <c r="A14" s="77">
        <v>12</v>
      </c>
      <c r="B14" s="77">
        <v>24</v>
      </c>
      <c r="C14" s="77">
        <v>950024</v>
      </c>
      <c r="D14" s="77">
        <v>28</v>
      </c>
      <c r="E14" s="77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E15"/>
  <sheetViews>
    <sheetView workbookViewId="0">
      <selection activeCell="B10" sqref="B10"/>
    </sheetView>
  </sheetViews>
  <sheetFormatPr defaultRowHeight="15" x14ac:dyDescent="0.25"/>
  <cols>
    <col min="2" max="2" width="43.28515625" customWidth="1"/>
  </cols>
  <sheetData>
    <row r="2" spans="1:5" x14ac:dyDescent="0.25">
      <c r="A2" s="3" t="s">
        <v>592</v>
      </c>
      <c r="B2" s="3" t="s">
        <v>1310</v>
      </c>
      <c r="C2" s="3" t="s">
        <v>1312</v>
      </c>
      <c r="D2" s="3" t="s">
        <v>722</v>
      </c>
      <c r="E2" s="3" t="s">
        <v>595</v>
      </c>
    </row>
    <row r="3" spans="1:5" ht="15.75" x14ac:dyDescent="0.25">
      <c r="A3">
        <v>1</v>
      </c>
      <c r="B3" s="48" t="s">
        <v>3604</v>
      </c>
      <c r="C3" s="48">
        <v>44</v>
      </c>
      <c r="D3">
        <v>15</v>
      </c>
      <c r="E3">
        <v>35</v>
      </c>
    </row>
    <row r="4" spans="1:5" ht="15.75" x14ac:dyDescent="0.25">
      <c r="A4">
        <v>2</v>
      </c>
      <c r="B4" s="48" t="s">
        <v>3605</v>
      </c>
      <c r="C4" s="48">
        <v>34</v>
      </c>
      <c r="D4">
        <v>112</v>
      </c>
      <c r="E4">
        <v>190</v>
      </c>
    </row>
    <row r="5" spans="1:5" ht="15.75" x14ac:dyDescent="0.25">
      <c r="A5" s="3">
        <v>3</v>
      </c>
      <c r="B5" s="48" t="s">
        <v>3606</v>
      </c>
      <c r="C5" s="48">
        <v>24</v>
      </c>
      <c r="D5">
        <v>112</v>
      </c>
      <c r="E5">
        <v>190</v>
      </c>
    </row>
    <row r="6" spans="1:5" ht="15.75" x14ac:dyDescent="0.25">
      <c r="A6" s="3">
        <v>4</v>
      </c>
      <c r="B6" s="48" t="s">
        <v>3607</v>
      </c>
      <c r="C6" s="48">
        <v>0</v>
      </c>
      <c r="D6">
        <v>35</v>
      </c>
      <c r="E6">
        <v>60</v>
      </c>
    </row>
    <row r="7" spans="1:5" ht="15.75" x14ac:dyDescent="0.25">
      <c r="A7" s="3">
        <v>5</v>
      </c>
      <c r="B7" s="48" t="s">
        <v>3608</v>
      </c>
      <c r="C7" s="48">
        <v>2</v>
      </c>
      <c r="D7">
        <v>148</v>
      </c>
      <c r="E7">
        <v>200</v>
      </c>
    </row>
    <row r="8" spans="1:5" ht="15.75" x14ac:dyDescent="0.25">
      <c r="B8" s="48" t="s">
        <v>3637</v>
      </c>
      <c r="C8" s="48">
        <v>0</v>
      </c>
    </row>
    <row r="9" spans="1:5" ht="15.75" x14ac:dyDescent="0.25">
      <c r="B9" s="48" t="s">
        <v>3646</v>
      </c>
      <c r="C9" s="48">
        <v>40</v>
      </c>
      <c r="D9">
        <v>35</v>
      </c>
      <c r="E9">
        <v>65</v>
      </c>
    </row>
    <row r="10" spans="1:5" ht="15.75" x14ac:dyDescent="0.25">
      <c r="B10" s="48" t="s">
        <v>3647</v>
      </c>
      <c r="C10" s="48">
        <v>0</v>
      </c>
      <c r="D10">
        <v>35</v>
      </c>
    </row>
    <row r="11" spans="1:5" ht="15.75" x14ac:dyDescent="0.25">
      <c r="B11" s="48"/>
      <c r="C11" s="48"/>
    </row>
    <row r="15" spans="1:5" x14ac:dyDescent="0.2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8"/>
  <sheetViews>
    <sheetView zoomScale="90" zoomScaleNormal="90" workbookViewId="0">
      <selection activeCell="E19" sqref="E19"/>
    </sheetView>
  </sheetViews>
  <sheetFormatPr defaultRowHeight="15" x14ac:dyDescent="0.2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x14ac:dyDescent="0.25">
      <c r="A1" s="3" t="s">
        <v>592</v>
      </c>
      <c r="B1" s="3" t="s">
        <v>449</v>
      </c>
      <c r="C1" s="3" t="s">
        <v>3391</v>
      </c>
      <c r="D1" s="3" t="s">
        <v>594</v>
      </c>
      <c r="E1" s="3" t="s">
        <v>595</v>
      </c>
      <c r="F1" s="3" t="s">
        <v>722</v>
      </c>
      <c r="G1" s="3" t="s">
        <v>3445</v>
      </c>
    </row>
    <row r="2" spans="1:8" ht="15" customHeight="1" x14ac:dyDescent="0.25">
      <c r="A2">
        <v>1</v>
      </c>
      <c r="B2" s="3" t="s">
        <v>3393</v>
      </c>
      <c r="C2" s="4" t="s">
        <v>3392</v>
      </c>
      <c r="D2">
        <v>1</v>
      </c>
      <c r="E2">
        <v>594</v>
      </c>
      <c r="F2">
        <v>420</v>
      </c>
      <c r="G2">
        <v>30</v>
      </c>
    </row>
    <row r="3" spans="1:8" x14ac:dyDescent="0.25">
      <c r="A3">
        <v>2</v>
      </c>
      <c r="B3" s="3" t="s">
        <v>3394</v>
      </c>
      <c r="C3" s="4" t="s">
        <v>3395</v>
      </c>
      <c r="D3">
        <v>2</v>
      </c>
      <c r="E3">
        <v>147</v>
      </c>
      <c r="F3">
        <v>104</v>
      </c>
      <c r="G3">
        <v>30</v>
      </c>
      <c r="H3" s="3"/>
    </row>
    <row r="4" spans="1:8" x14ac:dyDescent="0.25">
      <c r="A4" s="3">
        <v>3</v>
      </c>
      <c r="B4" s="3" t="s">
        <v>3396</v>
      </c>
      <c r="C4" s="4" t="s">
        <v>3397</v>
      </c>
      <c r="D4">
        <v>1</v>
      </c>
      <c r="E4">
        <v>645</v>
      </c>
      <c r="F4">
        <v>456</v>
      </c>
      <c r="G4">
        <v>30</v>
      </c>
      <c r="H4" s="3"/>
    </row>
    <row r="5" spans="1:8" x14ac:dyDescent="0.25">
      <c r="A5" s="3">
        <v>4</v>
      </c>
      <c r="B5" s="3" t="s">
        <v>3399</v>
      </c>
      <c r="C5" s="4" t="s">
        <v>3400</v>
      </c>
      <c r="D5">
        <v>1</v>
      </c>
      <c r="E5">
        <v>576</v>
      </c>
      <c r="F5">
        <v>407</v>
      </c>
      <c r="G5">
        <v>30</v>
      </c>
      <c r="H5" s="3"/>
    </row>
    <row r="6" spans="1:8" x14ac:dyDescent="0.25">
      <c r="A6" s="3">
        <v>5</v>
      </c>
      <c r="B6" s="3" t="s">
        <v>3398</v>
      </c>
      <c r="C6" s="4" t="s">
        <v>3401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 x14ac:dyDescent="0.25">
      <c r="A7" s="3">
        <v>6</v>
      </c>
      <c r="B7" s="3" t="s">
        <v>3402</v>
      </c>
      <c r="C7" s="4" t="s">
        <v>3403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 x14ac:dyDescent="0.25">
      <c r="A8" s="3">
        <v>7</v>
      </c>
      <c r="B8" s="3" t="s">
        <v>3404</v>
      </c>
      <c r="C8" s="4" t="s">
        <v>3405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 x14ac:dyDescent="0.25">
      <c r="A9" s="3">
        <v>8</v>
      </c>
      <c r="B9" s="3" t="s">
        <v>3406</v>
      </c>
      <c r="C9" s="4" t="s">
        <v>3407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 x14ac:dyDescent="0.25">
      <c r="A10" s="3">
        <v>9</v>
      </c>
      <c r="B10" s="3" t="s">
        <v>3408</v>
      </c>
      <c r="C10" s="4" t="s">
        <v>3409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 x14ac:dyDescent="0.25">
      <c r="A11" s="3">
        <v>10</v>
      </c>
      <c r="B11" s="3" t="s">
        <v>3410</v>
      </c>
      <c r="C11" s="4" t="s">
        <v>3411</v>
      </c>
      <c r="D11">
        <v>1</v>
      </c>
      <c r="E11">
        <v>338</v>
      </c>
      <c r="F11">
        <v>215</v>
      </c>
      <c r="G11" s="3">
        <v>36</v>
      </c>
      <c r="H11" s="3"/>
    </row>
    <row r="12" spans="1:8" x14ac:dyDescent="0.25">
      <c r="A12" s="3">
        <v>11</v>
      </c>
      <c r="B12" s="3" t="s">
        <v>3412</v>
      </c>
      <c r="C12" s="4" t="s">
        <v>3413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 x14ac:dyDescent="0.25">
      <c r="A13" s="3">
        <v>12</v>
      </c>
      <c r="B13" s="3" t="s">
        <v>3414</v>
      </c>
      <c r="C13" s="4" t="s">
        <v>3841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 x14ac:dyDescent="0.25">
      <c r="A14" s="3">
        <v>13</v>
      </c>
      <c r="B14" s="3" t="s">
        <v>3415</v>
      </c>
      <c r="C14" s="4" t="s">
        <v>3416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 x14ac:dyDescent="0.25">
      <c r="A15" s="3">
        <v>14</v>
      </c>
      <c r="B15" s="3" t="s">
        <v>3417</v>
      </c>
      <c r="C15" s="4" t="s">
        <v>3842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 x14ac:dyDescent="0.25">
      <c r="A16" s="3">
        <v>15</v>
      </c>
      <c r="B16" s="3" t="s">
        <v>3418</v>
      </c>
      <c r="C16" s="4" t="s">
        <v>3419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 x14ac:dyDescent="0.25">
      <c r="A17" s="3">
        <v>16</v>
      </c>
      <c r="B17" s="3" t="s">
        <v>3443</v>
      </c>
      <c r="C17" s="4" t="s">
        <v>3444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 x14ac:dyDescent="0.25">
      <c r="A18" s="3">
        <v>17</v>
      </c>
      <c r="B18" s="3" t="s">
        <v>3420</v>
      </c>
      <c r="C18" s="4" t="s">
        <v>3843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 x14ac:dyDescent="0.25">
      <c r="A19" s="3">
        <v>18</v>
      </c>
      <c r="B19" s="3" t="s">
        <v>3421</v>
      </c>
      <c r="C19" s="4" t="s">
        <v>3844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 x14ac:dyDescent="0.25">
      <c r="A20" s="3">
        <v>19</v>
      </c>
      <c r="B20" s="3" t="s">
        <v>3422</v>
      </c>
      <c r="C20" s="4" t="s">
        <v>3845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 x14ac:dyDescent="0.25">
      <c r="A21" s="3">
        <v>20</v>
      </c>
      <c r="B21" s="3" t="s">
        <v>3423</v>
      </c>
      <c r="C21" s="4" t="s">
        <v>3846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 x14ac:dyDescent="0.25">
      <c r="A22" s="3">
        <v>21</v>
      </c>
      <c r="B22" s="3" t="s">
        <v>3424</v>
      </c>
      <c r="C22" s="4" t="s">
        <v>3847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 x14ac:dyDescent="0.25">
      <c r="A23" s="3">
        <v>22</v>
      </c>
      <c r="B23" s="3" t="s">
        <v>3425</v>
      </c>
      <c r="C23" s="4" t="s">
        <v>3848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 x14ac:dyDescent="0.25">
      <c r="A24" s="3">
        <v>23</v>
      </c>
      <c r="B24" s="3" t="s">
        <v>3426</v>
      </c>
      <c r="C24" s="4" t="s">
        <v>3849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 x14ac:dyDescent="0.25">
      <c r="A25" s="3">
        <v>24</v>
      </c>
      <c r="B25" s="3" t="s">
        <v>3427</v>
      </c>
      <c r="C25" s="4" t="s">
        <v>3850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 x14ac:dyDescent="0.25">
      <c r="A26" s="3">
        <v>25</v>
      </c>
      <c r="B26" s="3" t="s">
        <v>3428</v>
      </c>
      <c r="C26" s="4" t="s">
        <v>3429</v>
      </c>
      <c r="D26">
        <v>2</v>
      </c>
      <c r="E26">
        <v>218</v>
      </c>
      <c r="F26">
        <v>139</v>
      </c>
      <c r="G26" s="3">
        <v>36</v>
      </c>
      <c r="H26" s="3"/>
    </row>
    <row r="27" spans="1:8" x14ac:dyDescent="0.25">
      <c r="A27" s="3">
        <v>26</v>
      </c>
      <c r="B27" s="3" t="s">
        <v>3430</v>
      </c>
      <c r="C27" s="4" t="s">
        <v>3431</v>
      </c>
      <c r="D27">
        <v>2</v>
      </c>
      <c r="E27">
        <v>217</v>
      </c>
      <c r="F27">
        <v>138</v>
      </c>
      <c r="G27" s="3">
        <v>36</v>
      </c>
      <c r="H27" s="3"/>
    </row>
    <row r="28" spans="1:8" x14ac:dyDescent="0.25">
      <c r="A28" s="3">
        <v>27</v>
      </c>
      <c r="B28" s="3" t="s">
        <v>3432</v>
      </c>
      <c r="C28" s="4" t="s">
        <v>3851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 x14ac:dyDescent="0.25">
      <c r="A29" s="3">
        <v>28</v>
      </c>
      <c r="B29" s="3" t="s">
        <v>3433</v>
      </c>
      <c r="C29" s="4" t="s">
        <v>3852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 x14ac:dyDescent="0.25">
      <c r="A30" s="3">
        <v>29</v>
      </c>
      <c r="B30" s="3" t="s">
        <v>3434</v>
      </c>
      <c r="C30" s="4" t="s">
        <v>3853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 x14ac:dyDescent="0.25">
      <c r="A31" s="3">
        <v>30</v>
      </c>
      <c r="B31" s="3" t="s">
        <v>3435</v>
      </c>
      <c r="C31" s="4" t="s">
        <v>3854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 x14ac:dyDescent="0.25">
      <c r="A32" s="3">
        <v>31</v>
      </c>
      <c r="B32" s="3" t="s">
        <v>3436</v>
      </c>
      <c r="C32" s="4" t="s">
        <v>3855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 x14ac:dyDescent="0.25">
      <c r="A33" s="3">
        <v>32</v>
      </c>
      <c r="B33" s="3" t="s">
        <v>3437</v>
      </c>
      <c r="C33" s="4" t="s">
        <v>3438</v>
      </c>
      <c r="D33">
        <v>2</v>
      </c>
      <c r="E33">
        <v>260</v>
      </c>
      <c r="F33">
        <v>165</v>
      </c>
      <c r="G33" s="3">
        <v>36</v>
      </c>
      <c r="H33" s="3"/>
    </row>
    <row r="34" spans="1:8" x14ac:dyDescent="0.25">
      <c r="A34" s="3">
        <v>33</v>
      </c>
      <c r="B34" s="3" t="s">
        <v>3439</v>
      </c>
      <c r="C34" s="4" t="s">
        <v>3856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 x14ac:dyDescent="0.25">
      <c r="A35" s="3">
        <v>34</v>
      </c>
      <c r="B35" s="3" t="s">
        <v>3440</v>
      </c>
      <c r="C35" s="4" t="s">
        <v>3857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 x14ac:dyDescent="0.25">
      <c r="A36" s="3">
        <v>35</v>
      </c>
      <c r="B36" s="3" t="s">
        <v>3441</v>
      </c>
      <c r="C36" s="4" t="s">
        <v>3442</v>
      </c>
      <c r="D36">
        <v>1</v>
      </c>
      <c r="E36">
        <v>675</v>
      </c>
      <c r="F36">
        <v>477</v>
      </c>
      <c r="G36" s="3">
        <v>30</v>
      </c>
      <c r="H36" s="3"/>
    </row>
    <row r="37" spans="1:8" x14ac:dyDescent="0.25">
      <c r="A37" s="3">
        <v>36</v>
      </c>
      <c r="B37" s="3" t="s">
        <v>3463</v>
      </c>
      <c r="C37" s="4" t="s">
        <v>3462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 x14ac:dyDescent="0.25">
      <c r="A38" s="3">
        <v>37</v>
      </c>
      <c r="B38" s="3" t="s">
        <v>3464</v>
      </c>
      <c r="C38" s="4" t="s">
        <v>3465</v>
      </c>
      <c r="D38">
        <v>2</v>
      </c>
      <c r="E38">
        <v>260</v>
      </c>
      <c r="G38" s="3">
        <v>36</v>
      </c>
      <c r="H38" s="3"/>
    </row>
    <row r="39" spans="1:8" x14ac:dyDescent="0.25">
      <c r="A39" s="3">
        <v>38</v>
      </c>
      <c r="B39" s="3" t="s">
        <v>3466</v>
      </c>
      <c r="C39" s="4" t="s">
        <v>3475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 x14ac:dyDescent="0.25">
      <c r="A40" s="3">
        <v>39</v>
      </c>
      <c r="B40" s="3" t="s">
        <v>3467</v>
      </c>
      <c r="C40" s="4" t="s">
        <v>3487</v>
      </c>
      <c r="D40">
        <v>4</v>
      </c>
      <c r="E40">
        <v>823</v>
      </c>
      <c r="G40" s="3">
        <v>36</v>
      </c>
      <c r="H40" s="3"/>
    </row>
    <row r="41" spans="1:8" x14ac:dyDescent="0.25">
      <c r="A41" s="3">
        <v>40</v>
      </c>
      <c r="B41" s="3" t="s">
        <v>3468</v>
      </c>
      <c r="C41" s="4" t="s">
        <v>3469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 x14ac:dyDescent="0.25">
      <c r="A42" s="3">
        <v>41</v>
      </c>
      <c r="B42" s="3" t="s">
        <v>3470</v>
      </c>
      <c r="C42" s="4" t="s">
        <v>3476</v>
      </c>
      <c r="D42">
        <v>2</v>
      </c>
      <c r="E42">
        <v>271</v>
      </c>
      <c r="G42" s="3">
        <v>36</v>
      </c>
      <c r="H42" s="3"/>
    </row>
    <row r="43" spans="1:8" x14ac:dyDescent="0.25">
      <c r="A43" s="3">
        <v>42</v>
      </c>
      <c r="B43" s="3" t="s">
        <v>3471</v>
      </c>
      <c r="C43" s="4" t="s">
        <v>3477</v>
      </c>
      <c r="D43">
        <v>2</v>
      </c>
      <c r="E43">
        <v>215</v>
      </c>
      <c r="G43" s="3">
        <v>36</v>
      </c>
      <c r="H43" s="3"/>
    </row>
    <row r="44" spans="1:8" x14ac:dyDescent="0.25">
      <c r="A44" s="3">
        <v>43</v>
      </c>
      <c r="B44" s="3" t="s">
        <v>3472</v>
      </c>
      <c r="C44" s="4" t="s">
        <v>3473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 x14ac:dyDescent="0.25">
      <c r="A45" s="3">
        <v>44</v>
      </c>
      <c r="B45" s="3" t="s">
        <v>3474</v>
      </c>
      <c r="C45" s="4" t="s">
        <v>3478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 x14ac:dyDescent="0.25">
      <c r="A46" s="3">
        <v>45</v>
      </c>
      <c r="B46" s="3" t="s">
        <v>3479</v>
      </c>
      <c r="C46" s="4" t="s">
        <v>3858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 x14ac:dyDescent="0.25">
      <c r="A47" s="3">
        <v>46</v>
      </c>
      <c r="B47" s="3" t="s">
        <v>3492</v>
      </c>
      <c r="C47" s="4" t="s">
        <v>3480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 x14ac:dyDescent="0.25">
      <c r="A48" s="3">
        <v>47</v>
      </c>
      <c r="B48" s="3" t="s">
        <v>3481</v>
      </c>
      <c r="C48" s="4" t="s">
        <v>3859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 x14ac:dyDescent="0.25">
      <c r="A49" s="3">
        <v>48</v>
      </c>
      <c r="B49" s="3" t="s">
        <v>3482</v>
      </c>
      <c r="C49" s="4" t="s">
        <v>3483</v>
      </c>
      <c r="D49">
        <v>2</v>
      </c>
      <c r="E49">
        <v>685</v>
      </c>
      <c r="G49" s="3">
        <v>36</v>
      </c>
      <c r="H49" s="3"/>
    </row>
    <row r="50" spans="1:8" x14ac:dyDescent="0.25">
      <c r="A50" s="3">
        <v>49</v>
      </c>
      <c r="B50" s="3" t="s">
        <v>3484</v>
      </c>
      <c r="C50" s="4" t="s">
        <v>3485</v>
      </c>
      <c r="D50">
        <v>2</v>
      </c>
      <c r="E50">
        <v>665</v>
      </c>
      <c r="G50" s="3">
        <v>36</v>
      </c>
      <c r="H50" s="3"/>
    </row>
    <row r="51" spans="1:8" x14ac:dyDescent="0.25">
      <c r="A51" s="3">
        <v>50</v>
      </c>
      <c r="B51" s="3" t="s">
        <v>3486</v>
      </c>
      <c r="C51" s="4" t="s">
        <v>3860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 x14ac:dyDescent="0.25">
      <c r="A52" s="3">
        <v>51</v>
      </c>
      <c r="B52" s="3" t="s">
        <v>3488</v>
      </c>
      <c r="C52" s="4" t="s">
        <v>3861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 x14ac:dyDescent="0.25">
      <c r="A53" s="3">
        <v>52</v>
      </c>
      <c r="B53" s="3" t="s">
        <v>3489</v>
      </c>
      <c r="C53" s="4" t="s">
        <v>3490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 x14ac:dyDescent="0.25">
      <c r="A54" s="3">
        <v>53</v>
      </c>
      <c r="B54" s="3" t="s">
        <v>3491</v>
      </c>
      <c r="C54" s="4" t="s">
        <v>3862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 x14ac:dyDescent="0.25">
      <c r="A55" s="3">
        <v>54</v>
      </c>
      <c r="B55" s="3" t="s">
        <v>3494</v>
      </c>
      <c r="C55" s="4" t="s">
        <v>3496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 x14ac:dyDescent="0.25">
      <c r="A56" s="3">
        <v>55</v>
      </c>
      <c r="B56" s="3" t="s">
        <v>3495</v>
      </c>
      <c r="C56" s="4" t="s">
        <v>3863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 x14ac:dyDescent="0.25">
      <c r="A57" s="3">
        <v>56</v>
      </c>
      <c r="B57" s="3" t="s">
        <v>3497</v>
      </c>
      <c r="C57" s="4" t="s">
        <v>3498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 x14ac:dyDescent="0.25">
      <c r="A58" s="3">
        <v>57</v>
      </c>
      <c r="B58" s="3" t="s">
        <v>3499</v>
      </c>
      <c r="C58" s="4" t="s">
        <v>3864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 x14ac:dyDescent="0.25">
      <c r="A59" s="3">
        <v>58</v>
      </c>
      <c r="B59" s="3" t="s">
        <v>3500</v>
      </c>
      <c r="C59" s="4" t="s">
        <v>3501</v>
      </c>
      <c r="D59">
        <v>3</v>
      </c>
      <c r="E59">
        <v>222</v>
      </c>
      <c r="G59" s="3">
        <v>36</v>
      </c>
      <c r="H59" s="3"/>
    </row>
    <row r="60" spans="1:8" x14ac:dyDescent="0.25">
      <c r="A60" s="3">
        <v>59</v>
      </c>
      <c r="B60" s="3" t="s">
        <v>3502</v>
      </c>
      <c r="C60" s="4" t="s">
        <v>3865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 x14ac:dyDescent="0.25">
      <c r="A61" s="3">
        <v>60</v>
      </c>
      <c r="B61" s="3" t="s">
        <v>3503</v>
      </c>
      <c r="C61" s="4" t="s">
        <v>3504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 x14ac:dyDescent="0.25">
      <c r="A62" s="3">
        <v>61</v>
      </c>
      <c r="B62" s="3" t="s">
        <v>3505</v>
      </c>
      <c r="C62" s="4" t="s">
        <v>3506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 x14ac:dyDescent="0.25">
      <c r="A63" s="3">
        <v>62</v>
      </c>
      <c r="B63" s="3" t="s">
        <v>3507</v>
      </c>
      <c r="C63" s="4" t="s">
        <v>3508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 x14ac:dyDescent="0.25">
      <c r="A64" s="3">
        <v>63</v>
      </c>
      <c r="B64" s="3" t="s">
        <v>3509</v>
      </c>
      <c r="C64" s="4" t="s">
        <v>3510</v>
      </c>
      <c r="D64">
        <v>22</v>
      </c>
      <c r="E64">
        <v>27</v>
      </c>
      <c r="G64" s="3">
        <v>36</v>
      </c>
      <c r="H64" s="3"/>
    </row>
    <row r="65" spans="1:8" x14ac:dyDescent="0.25">
      <c r="A65" s="3">
        <v>64</v>
      </c>
      <c r="B65" s="3" t="s">
        <v>3511</v>
      </c>
      <c r="H65" s="3">
        <f t="shared" si="0"/>
        <v>0</v>
      </c>
    </row>
    <row r="66" spans="1:8" x14ac:dyDescent="0.25">
      <c r="A66" s="3">
        <v>65</v>
      </c>
      <c r="B66" s="3" t="s">
        <v>3511</v>
      </c>
      <c r="H66" s="3">
        <f t="shared" si="0"/>
        <v>0</v>
      </c>
    </row>
    <row r="67" spans="1:8" x14ac:dyDescent="0.25">
      <c r="A67" s="3">
        <v>66</v>
      </c>
      <c r="B67" s="3"/>
      <c r="H67" s="3">
        <f t="shared" ref="H67:H75" si="1">D67*E67</f>
        <v>0</v>
      </c>
    </row>
    <row r="68" spans="1:8" x14ac:dyDescent="0.25">
      <c r="A68" s="3">
        <v>67</v>
      </c>
      <c r="B68" s="3" t="s">
        <v>3548</v>
      </c>
      <c r="C68" s="3" t="s">
        <v>3549</v>
      </c>
      <c r="D68">
        <v>2</v>
      </c>
      <c r="E68">
        <v>975</v>
      </c>
      <c r="H68" s="3"/>
    </row>
    <row r="69" spans="1:8" x14ac:dyDescent="0.25">
      <c r="A69" s="3">
        <v>68</v>
      </c>
      <c r="B69" s="3" t="s">
        <v>3550</v>
      </c>
      <c r="C69" s="3" t="s">
        <v>3551</v>
      </c>
      <c r="D69">
        <v>2</v>
      </c>
      <c r="E69">
        <v>975</v>
      </c>
      <c r="H69" s="3"/>
    </row>
    <row r="70" spans="1:8" x14ac:dyDescent="0.25">
      <c r="A70" s="3">
        <v>69</v>
      </c>
      <c r="B70" s="3" t="s">
        <v>3552</v>
      </c>
      <c r="C70" s="3" t="s">
        <v>3553</v>
      </c>
      <c r="D70">
        <v>0</v>
      </c>
      <c r="E70">
        <v>1068</v>
      </c>
      <c r="H70" s="3">
        <f t="shared" si="1"/>
        <v>0</v>
      </c>
    </row>
    <row r="71" spans="1:8" x14ac:dyDescent="0.25">
      <c r="A71" s="3">
        <v>70</v>
      </c>
      <c r="B71" s="3" t="s">
        <v>3554</v>
      </c>
      <c r="C71" s="3" t="s">
        <v>3866</v>
      </c>
      <c r="D71">
        <v>0</v>
      </c>
      <c r="E71">
        <v>2208</v>
      </c>
      <c r="H71" s="3">
        <f t="shared" si="1"/>
        <v>0</v>
      </c>
    </row>
    <row r="72" spans="1:8" s="3" customFormat="1" x14ac:dyDescent="0.25">
      <c r="A72" s="3">
        <v>71</v>
      </c>
      <c r="B72" s="3" t="s">
        <v>3555</v>
      </c>
      <c r="C72" s="3" t="s">
        <v>3556</v>
      </c>
      <c r="D72" s="3">
        <v>0</v>
      </c>
      <c r="E72" s="3">
        <v>676</v>
      </c>
      <c r="H72" s="3">
        <f t="shared" si="1"/>
        <v>0</v>
      </c>
    </row>
    <row r="73" spans="1:8" s="3" customFormat="1" x14ac:dyDescent="0.25">
      <c r="A73" s="3">
        <v>72</v>
      </c>
      <c r="B73" s="3" t="s">
        <v>3560</v>
      </c>
      <c r="C73" s="3" t="s">
        <v>3867</v>
      </c>
      <c r="D73" s="3">
        <v>2</v>
      </c>
      <c r="E73" s="3">
        <v>554</v>
      </c>
      <c r="H73" s="3">
        <f t="shared" si="1"/>
        <v>1108</v>
      </c>
    </row>
    <row r="74" spans="1:8" x14ac:dyDescent="0.25">
      <c r="A74" s="3">
        <v>73</v>
      </c>
      <c r="B74" s="3" t="s">
        <v>3559</v>
      </c>
      <c r="C74" s="3" t="s">
        <v>3868</v>
      </c>
      <c r="D74">
        <v>2</v>
      </c>
      <c r="E74">
        <v>917</v>
      </c>
      <c r="H74" s="3">
        <f t="shared" si="1"/>
        <v>1834</v>
      </c>
    </row>
    <row r="75" spans="1:8" x14ac:dyDescent="0.25">
      <c r="A75" s="3">
        <v>74</v>
      </c>
      <c r="B75" s="3" t="s">
        <v>3557</v>
      </c>
      <c r="C75" s="3" t="s">
        <v>3558</v>
      </c>
      <c r="D75">
        <v>0</v>
      </c>
      <c r="E75">
        <v>161</v>
      </c>
      <c r="H75" s="3">
        <f t="shared" si="1"/>
        <v>0</v>
      </c>
    </row>
    <row r="78" spans="1:8" x14ac:dyDescent="0.25">
      <c r="H78">
        <f>SUM(H2:H77)</f>
        <v>27137</v>
      </c>
    </row>
  </sheetData>
  <sheetProtection password="CF21" sheet="1" objects="1" scenarios="1"/>
  <autoFilter ref="A1:H75" xr:uid="{00000000-0009-0000-0000-000018000000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397"/>
  <sheetViews>
    <sheetView topLeftCell="A341" workbookViewId="0">
      <selection activeCell="B353" sqref="B353"/>
    </sheetView>
  </sheetViews>
  <sheetFormatPr defaultRowHeight="18" x14ac:dyDescent="0.25"/>
  <cols>
    <col min="1" max="1" width="7.42578125" customWidth="1"/>
    <col min="2" max="2" width="44.7109375" style="81" customWidth="1"/>
    <col min="3" max="3" width="16.7109375" customWidth="1"/>
    <col min="4" max="4" width="12.5703125" style="81" customWidth="1"/>
    <col min="5" max="5" width="15.85546875" style="81" customWidth="1"/>
    <col min="6" max="6" width="15.7109375" style="81" customWidth="1"/>
  </cols>
  <sheetData>
    <row r="1" spans="1:7" x14ac:dyDescent="0.25">
      <c r="A1" s="82" t="s">
        <v>4017</v>
      </c>
      <c r="B1" s="83" t="s">
        <v>449</v>
      </c>
      <c r="C1" s="82" t="s">
        <v>1310</v>
      </c>
      <c r="D1" s="83" t="s">
        <v>1312</v>
      </c>
      <c r="E1" s="83" t="s">
        <v>61</v>
      </c>
    </row>
    <row r="2" spans="1:7" x14ac:dyDescent="0.25">
      <c r="A2" s="81">
        <v>36</v>
      </c>
      <c r="B2" s="81" t="s">
        <v>4028</v>
      </c>
      <c r="C2" s="81"/>
      <c r="D2" s="81">
        <v>0</v>
      </c>
      <c r="E2" s="81">
        <v>211</v>
      </c>
    </row>
    <row r="3" spans="1:7" s="3" customFormat="1" x14ac:dyDescent="0.25">
      <c r="A3" s="81">
        <v>219</v>
      </c>
      <c r="B3" s="81" t="s">
        <v>4175</v>
      </c>
      <c r="C3" s="81"/>
      <c r="D3" s="81">
        <v>0</v>
      </c>
      <c r="E3" s="81"/>
      <c r="F3" s="81"/>
    </row>
    <row r="4" spans="1:7" x14ac:dyDescent="0.25">
      <c r="A4" s="3"/>
      <c r="B4" s="81" t="s">
        <v>4387</v>
      </c>
      <c r="C4" s="3"/>
      <c r="D4" s="81">
        <v>0</v>
      </c>
      <c r="E4" s="81">
        <v>1440</v>
      </c>
    </row>
    <row r="5" spans="1:7" x14ac:dyDescent="0.25">
      <c r="A5" s="3"/>
      <c r="B5" s="81" t="s">
        <v>4394</v>
      </c>
      <c r="C5" s="3"/>
      <c r="D5" s="81">
        <v>0</v>
      </c>
      <c r="E5" s="81">
        <v>13563</v>
      </c>
    </row>
    <row r="6" spans="1:7" x14ac:dyDescent="0.25">
      <c r="A6" s="3"/>
      <c r="B6" s="81" t="s">
        <v>4436</v>
      </c>
      <c r="C6" s="3"/>
      <c r="D6" s="81">
        <v>0</v>
      </c>
      <c r="E6" s="81">
        <v>23875</v>
      </c>
    </row>
    <row r="7" spans="1:7" x14ac:dyDescent="0.25">
      <c r="A7" s="3"/>
      <c r="B7" s="81" t="s">
        <v>4445</v>
      </c>
      <c r="C7" s="3"/>
      <c r="D7" s="81">
        <v>0</v>
      </c>
    </row>
    <row r="8" spans="1:7" x14ac:dyDescent="0.25">
      <c r="A8" s="3"/>
      <c r="B8" s="81" t="s">
        <v>4496</v>
      </c>
      <c r="C8" s="3"/>
      <c r="D8" s="81">
        <v>0</v>
      </c>
      <c r="E8" s="81">
        <v>442</v>
      </c>
    </row>
    <row r="9" spans="1:7" x14ac:dyDescent="0.25">
      <c r="A9" s="3"/>
      <c r="B9" s="81" t="s">
        <v>4497</v>
      </c>
      <c r="C9" s="3"/>
      <c r="D9" s="81">
        <v>0</v>
      </c>
      <c r="E9" s="81">
        <v>609</v>
      </c>
    </row>
    <row r="10" spans="1:7" x14ac:dyDescent="0.25">
      <c r="A10" s="81">
        <v>64</v>
      </c>
      <c r="B10" s="81" t="s">
        <v>4146</v>
      </c>
      <c r="C10" s="81"/>
      <c r="D10" s="81">
        <v>0</v>
      </c>
      <c r="E10" s="81">
        <v>733</v>
      </c>
    </row>
    <row r="11" spans="1:7" s="3" customFormat="1" x14ac:dyDescent="0.25">
      <c r="A11" s="81">
        <v>196</v>
      </c>
      <c r="B11" s="81" t="s">
        <v>4080</v>
      </c>
      <c r="C11" s="81"/>
      <c r="D11" s="81">
        <v>0</v>
      </c>
      <c r="E11" s="81" t="s">
        <v>4106</v>
      </c>
      <c r="F11" s="81" t="s">
        <v>4298</v>
      </c>
    </row>
    <row r="12" spans="1:7" s="3" customFormat="1" x14ac:dyDescent="0.25">
      <c r="A12" s="81">
        <v>52</v>
      </c>
      <c r="B12" s="81" t="s">
        <v>4182</v>
      </c>
      <c r="C12" s="81"/>
      <c r="D12" s="81">
        <v>0</v>
      </c>
      <c r="E12" s="81">
        <v>519</v>
      </c>
      <c r="F12" s="81"/>
      <c r="G12"/>
    </row>
    <row r="13" spans="1:7" s="3" customFormat="1" x14ac:dyDescent="0.25">
      <c r="A13" s="81">
        <v>58</v>
      </c>
      <c r="B13" s="81" t="s">
        <v>4264</v>
      </c>
      <c r="D13" s="81">
        <v>0</v>
      </c>
      <c r="E13" s="81">
        <v>658</v>
      </c>
      <c r="F13" s="81"/>
      <c r="G13"/>
    </row>
    <row r="14" spans="1:7" s="3" customFormat="1" x14ac:dyDescent="0.25">
      <c r="A14" s="81">
        <v>28</v>
      </c>
      <c r="B14" s="81" t="s">
        <v>4025</v>
      </c>
      <c r="C14" s="81"/>
      <c r="D14" s="81">
        <v>0</v>
      </c>
      <c r="E14" s="81" t="s">
        <v>4097</v>
      </c>
      <c r="F14" s="81" t="s">
        <v>4160</v>
      </c>
    </row>
    <row r="15" spans="1:7" s="3" customFormat="1" x14ac:dyDescent="0.25">
      <c r="B15" s="81" t="s">
        <v>4602</v>
      </c>
      <c r="D15" s="81">
        <v>0</v>
      </c>
      <c r="E15" s="81">
        <v>1244</v>
      </c>
      <c r="F15" s="81"/>
      <c r="G15"/>
    </row>
    <row r="16" spans="1:7" s="3" customFormat="1" x14ac:dyDescent="0.25">
      <c r="A16" s="81">
        <v>92</v>
      </c>
      <c r="B16" s="81" t="s">
        <v>4093</v>
      </c>
      <c r="C16" s="81"/>
      <c r="D16" s="81">
        <v>0</v>
      </c>
      <c r="E16" s="81">
        <v>370</v>
      </c>
      <c r="F16" s="81"/>
    </row>
    <row r="17" spans="1:7" s="3" customFormat="1" x14ac:dyDescent="0.25">
      <c r="B17" s="81" t="s">
        <v>4585</v>
      </c>
      <c r="D17" s="81">
        <v>0</v>
      </c>
      <c r="E17" s="81">
        <v>760</v>
      </c>
      <c r="F17" s="81"/>
    </row>
    <row r="18" spans="1:7" s="3" customFormat="1" x14ac:dyDescent="0.25">
      <c r="A18" s="81">
        <v>213</v>
      </c>
      <c r="B18" s="81" t="s">
        <v>4135</v>
      </c>
      <c r="C18" s="81"/>
      <c r="D18" s="81">
        <v>0</v>
      </c>
      <c r="E18" s="81">
        <v>1736</v>
      </c>
      <c r="F18" s="81"/>
      <c r="G18"/>
    </row>
    <row r="19" spans="1:7" s="3" customFormat="1" x14ac:dyDescent="0.25">
      <c r="A19" s="81">
        <v>100</v>
      </c>
      <c r="B19" s="81" t="s">
        <v>4165</v>
      </c>
      <c r="C19" s="81"/>
      <c r="D19" s="81">
        <v>0</v>
      </c>
      <c r="E19" s="81">
        <v>658</v>
      </c>
      <c r="F19" s="81"/>
    </row>
    <row r="20" spans="1:7" s="3" customFormat="1" x14ac:dyDescent="0.25">
      <c r="A20" s="81">
        <v>33</v>
      </c>
      <c r="B20" s="81" t="s">
        <v>4030</v>
      </c>
      <c r="C20" s="81"/>
      <c r="D20" s="81">
        <v>0</v>
      </c>
      <c r="E20" s="81">
        <v>148</v>
      </c>
      <c r="F20" s="81"/>
    </row>
    <row r="21" spans="1:7" s="3" customFormat="1" x14ac:dyDescent="0.25">
      <c r="A21" s="81">
        <v>2</v>
      </c>
      <c r="B21" s="81" t="s">
        <v>4171</v>
      </c>
      <c r="C21" s="84"/>
      <c r="D21" s="81">
        <v>1</v>
      </c>
      <c r="E21" s="81">
        <v>752</v>
      </c>
      <c r="F21" s="81"/>
    </row>
    <row r="22" spans="1:7" s="3" customFormat="1" x14ac:dyDescent="0.25">
      <c r="A22" s="81">
        <v>5</v>
      </c>
      <c r="B22" s="81" t="s">
        <v>4100</v>
      </c>
      <c r="C22" s="81"/>
      <c r="D22" s="81">
        <v>1</v>
      </c>
      <c r="E22" s="81">
        <v>1186</v>
      </c>
      <c r="F22" s="81"/>
    </row>
    <row r="23" spans="1:7" s="3" customFormat="1" x14ac:dyDescent="0.25">
      <c r="A23" s="81">
        <v>94</v>
      </c>
      <c r="B23" s="81" t="s">
        <v>4095</v>
      </c>
      <c r="C23" s="81"/>
      <c r="D23" s="81">
        <v>1</v>
      </c>
      <c r="E23" s="81">
        <v>434</v>
      </c>
      <c r="F23" s="81"/>
      <c r="G23"/>
    </row>
    <row r="24" spans="1:7" s="3" customFormat="1" x14ac:dyDescent="0.25">
      <c r="A24" s="81"/>
      <c r="B24" s="81" t="s">
        <v>4380</v>
      </c>
      <c r="C24" s="81"/>
      <c r="D24" s="81">
        <v>1</v>
      </c>
      <c r="E24" s="81">
        <v>7733</v>
      </c>
      <c r="F24" s="81"/>
    </row>
    <row r="25" spans="1:7" s="3" customFormat="1" x14ac:dyDescent="0.25">
      <c r="A25" s="81"/>
      <c r="B25" s="81" t="s">
        <v>4381</v>
      </c>
      <c r="C25" s="81"/>
      <c r="D25" s="81">
        <v>1</v>
      </c>
      <c r="E25" s="81">
        <v>9291</v>
      </c>
      <c r="F25" s="81"/>
    </row>
    <row r="26" spans="1:7" s="3" customFormat="1" x14ac:dyDescent="0.25">
      <c r="A26" s="81">
        <v>192</v>
      </c>
      <c r="B26" s="81" t="s">
        <v>4076</v>
      </c>
      <c r="C26" s="81"/>
      <c r="D26" s="81">
        <v>1</v>
      </c>
      <c r="E26" s="81">
        <v>1098</v>
      </c>
      <c r="F26" s="81"/>
    </row>
    <row r="27" spans="1:7" s="3" customFormat="1" x14ac:dyDescent="0.25">
      <c r="B27" s="81" t="s">
        <v>4295</v>
      </c>
      <c r="D27" s="81">
        <v>1</v>
      </c>
      <c r="E27" s="81">
        <v>2363</v>
      </c>
      <c r="F27" s="81"/>
    </row>
    <row r="28" spans="1:7" s="3" customFormat="1" x14ac:dyDescent="0.25">
      <c r="B28" s="81" t="s">
        <v>4388</v>
      </c>
      <c r="D28" s="81">
        <v>1</v>
      </c>
      <c r="E28" s="81">
        <v>409</v>
      </c>
      <c r="F28" s="81"/>
    </row>
    <row r="29" spans="1:7" s="3" customFormat="1" x14ac:dyDescent="0.25">
      <c r="B29" s="81">
        <v>33214</v>
      </c>
      <c r="D29" s="81">
        <v>1</v>
      </c>
      <c r="E29" s="81">
        <v>3579</v>
      </c>
      <c r="F29" s="81"/>
    </row>
    <row r="30" spans="1:7" s="3" customFormat="1" x14ac:dyDescent="0.25">
      <c r="B30" s="81" t="s">
        <v>4406</v>
      </c>
      <c r="D30" s="81">
        <v>1</v>
      </c>
      <c r="E30" s="81">
        <v>4160</v>
      </c>
      <c r="F30" s="81"/>
    </row>
    <row r="31" spans="1:7" s="3" customFormat="1" x14ac:dyDescent="0.25">
      <c r="B31" s="81">
        <v>1212</v>
      </c>
      <c r="D31" s="81">
        <v>1</v>
      </c>
      <c r="E31" s="81">
        <v>2020</v>
      </c>
      <c r="F31" s="81"/>
    </row>
    <row r="32" spans="1:7" s="3" customFormat="1" x14ac:dyDescent="0.25">
      <c r="B32" s="81" t="s">
        <v>4478</v>
      </c>
      <c r="D32" s="81">
        <v>1</v>
      </c>
      <c r="E32" s="81">
        <v>3456</v>
      </c>
      <c r="F32" s="81"/>
    </row>
    <row r="33" spans="1:6" s="3" customFormat="1" x14ac:dyDescent="0.25">
      <c r="A33" s="81">
        <v>81</v>
      </c>
      <c r="B33" s="81">
        <v>6215</v>
      </c>
      <c r="C33" s="81"/>
      <c r="D33" s="81">
        <v>1</v>
      </c>
      <c r="E33" s="81">
        <v>1468</v>
      </c>
      <c r="F33" s="81"/>
    </row>
    <row r="34" spans="1:6" s="3" customFormat="1" x14ac:dyDescent="0.25">
      <c r="A34" s="81">
        <v>32</v>
      </c>
      <c r="B34" s="81" t="s">
        <v>4164</v>
      </c>
      <c r="C34" s="81"/>
      <c r="D34" s="81">
        <v>1</v>
      </c>
      <c r="E34" s="81">
        <v>191</v>
      </c>
      <c r="F34" s="81"/>
    </row>
    <row r="35" spans="1:6" s="3" customFormat="1" x14ac:dyDescent="0.25">
      <c r="B35" s="81">
        <v>32215</v>
      </c>
      <c r="D35" s="81">
        <v>1</v>
      </c>
      <c r="E35" s="81">
        <v>2925</v>
      </c>
      <c r="F35" s="81"/>
    </row>
    <row r="36" spans="1:6" s="3" customFormat="1" x14ac:dyDescent="0.25">
      <c r="B36" s="81" t="s">
        <v>4614</v>
      </c>
      <c r="D36" s="81">
        <v>1</v>
      </c>
      <c r="E36" s="81">
        <v>2168</v>
      </c>
      <c r="F36" s="81"/>
    </row>
    <row r="37" spans="1:6" s="3" customFormat="1" x14ac:dyDescent="0.25">
      <c r="B37" s="81">
        <v>3308</v>
      </c>
      <c r="D37" s="81">
        <v>1</v>
      </c>
      <c r="E37" s="81">
        <v>2726</v>
      </c>
      <c r="F37" s="81"/>
    </row>
    <row r="38" spans="1:6" s="3" customFormat="1" x14ac:dyDescent="0.25">
      <c r="A38" s="81">
        <v>207</v>
      </c>
      <c r="B38" s="81">
        <v>31308</v>
      </c>
      <c r="C38" s="81"/>
      <c r="D38" s="81">
        <v>1</v>
      </c>
      <c r="E38" s="81">
        <v>1559</v>
      </c>
      <c r="F38" s="81"/>
    </row>
    <row r="39" spans="1:6" s="3" customFormat="1" x14ac:dyDescent="0.25">
      <c r="A39" s="81">
        <v>85</v>
      </c>
      <c r="B39" s="81">
        <v>6302</v>
      </c>
      <c r="C39" s="81"/>
      <c r="D39" s="81">
        <v>1</v>
      </c>
      <c r="E39" s="81" t="s">
        <v>4216</v>
      </c>
      <c r="F39" s="3" t="s">
        <v>4160</v>
      </c>
    </row>
    <row r="40" spans="1:6" s="3" customFormat="1" x14ac:dyDescent="0.25">
      <c r="A40" s="81">
        <v>57</v>
      </c>
      <c r="B40" s="81" t="s">
        <v>4257</v>
      </c>
      <c r="D40" s="81">
        <v>2</v>
      </c>
      <c r="E40" s="81">
        <v>680</v>
      </c>
      <c r="F40" s="81"/>
    </row>
    <row r="41" spans="1:6" s="3" customFormat="1" x14ac:dyDescent="0.25">
      <c r="A41" s="81">
        <v>1</v>
      </c>
      <c r="B41" s="81" t="s">
        <v>4170</v>
      </c>
      <c r="C41" s="84"/>
      <c r="D41" s="81">
        <v>2</v>
      </c>
      <c r="E41" s="81">
        <v>635</v>
      </c>
      <c r="F41" s="81"/>
    </row>
    <row r="42" spans="1:6" x14ac:dyDescent="0.25">
      <c r="A42" s="81"/>
      <c r="B42" s="81" t="s">
        <v>4557</v>
      </c>
      <c r="C42" s="81"/>
      <c r="D42" s="81">
        <v>2</v>
      </c>
      <c r="E42" s="81">
        <v>654</v>
      </c>
    </row>
    <row r="43" spans="1:6" s="3" customFormat="1" x14ac:dyDescent="0.25">
      <c r="A43" s="81">
        <v>126</v>
      </c>
      <c r="B43" s="81">
        <v>6314</v>
      </c>
      <c r="C43" s="81"/>
      <c r="D43" s="81">
        <v>2</v>
      </c>
      <c r="E43" s="81">
        <v>3442</v>
      </c>
      <c r="F43" s="81"/>
    </row>
    <row r="44" spans="1:6" s="3" customFormat="1" x14ac:dyDescent="0.25">
      <c r="A44" s="81">
        <v>185</v>
      </c>
      <c r="B44" s="81" t="s">
        <v>4063</v>
      </c>
      <c r="C44" s="81"/>
      <c r="D44" s="81">
        <v>2</v>
      </c>
      <c r="E44" s="81">
        <v>3862</v>
      </c>
      <c r="F44" s="81"/>
    </row>
    <row r="45" spans="1:6" s="3" customFormat="1" x14ac:dyDescent="0.25">
      <c r="A45" s="81">
        <v>194</v>
      </c>
      <c r="B45" s="81" t="s">
        <v>4078</v>
      </c>
      <c r="C45" s="81"/>
      <c r="D45" s="81">
        <v>2</v>
      </c>
      <c r="E45" s="81" t="s">
        <v>4104</v>
      </c>
      <c r="F45" s="81" t="s">
        <v>4107</v>
      </c>
    </row>
    <row r="46" spans="1:6" s="3" customFormat="1" x14ac:dyDescent="0.25">
      <c r="A46" s="81">
        <v>232</v>
      </c>
      <c r="B46" s="81" t="s">
        <v>4217</v>
      </c>
      <c r="C46" s="81"/>
      <c r="D46" s="81">
        <v>2</v>
      </c>
      <c r="E46" s="81">
        <v>1522</v>
      </c>
      <c r="F46" s="81"/>
    </row>
    <row r="47" spans="1:6" s="3" customFormat="1" x14ac:dyDescent="0.25">
      <c r="A47" s="81">
        <v>257</v>
      </c>
      <c r="B47" s="81" t="s">
        <v>4288</v>
      </c>
      <c r="D47" s="81">
        <v>2</v>
      </c>
      <c r="E47" s="81">
        <v>3403</v>
      </c>
      <c r="F47" s="81"/>
    </row>
    <row r="48" spans="1:6" s="3" customFormat="1" x14ac:dyDescent="0.25">
      <c r="B48" s="81">
        <v>3310</v>
      </c>
      <c r="D48" s="81">
        <v>2</v>
      </c>
      <c r="E48" s="81">
        <v>4553</v>
      </c>
      <c r="F48" s="81"/>
    </row>
    <row r="49" spans="1:6" s="3" customFormat="1" x14ac:dyDescent="0.25">
      <c r="B49" s="81" t="s">
        <v>4385</v>
      </c>
      <c r="D49" s="81">
        <v>2</v>
      </c>
      <c r="E49" s="81">
        <v>6555</v>
      </c>
      <c r="F49" s="81"/>
    </row>
    <row r="50" spans="1:6" s="3" customFormat="1" x14ac:dyDescent="0.25">
      <c r="B50" s="81">
        <v>33116</v>
      </c>
      <c r="D50" s="81">
        <v>2</v>
      </c>
      <c r="E50" s="81">
        <v>3777</v>
      </c>
      <c r="F50" s="81"/>
    </row>
    <row r="51" spans="1:6" s="3" customFormat="1" x14ac:dyDescent="0.25">
      <c r="B51" s="81">
        <v>33020</v>
      </c>
      <c r="D51" s="81">
        <v>2</v>
      </c>
      <c r="E51" s="81">
        <v>4912</v>
      </c>
      <c r="F51" s="81"/>
    </row>
    <row r="52" spans="1:6" s="3" customFormat="1" x14ac:dyDescent="0.25">
      <c r="A52" s="81">
        <v>234</v>
      </c>
      <c r="B52" s="81" t="s">
        <v>4219</v>
      </c>
      <c r="C52" s="81"/>
      <c r="D52" s="81">
        <v>2</v>
      </c>
      <c r="E52" s="81">
        <v>1232</v>
      </c>
      <c r="F52" s="81"/>
    </row>
    <row r="53" spans="1:6" s="3" customFormat="1" x14ac:dyDescent="0.25">
      <c r="B53" s="81" t="s">
        <v>4312</v>
      </c>
      <c r="D53" s="81">
        <v>2</v>
      </c>
      <c r="E53" s="81">
        <v>1692</v>
      </c>
      <c r="F53" s="81"/>
    </row>
    <row r="54" spans="1:6" s="3" customFormat="1" x14ac:dyDescent="0.25">
      <c r="B54" s="81" t="s">
        <v>4361</v>
      </c>
      <c r="D54" s="81">
        <v>2</v>
      </c>
      <c r="E54" s="81">
        <v>2566</v>
      </c>
      <c r="F54" s="81"/>
    </row>
    <row r="55" spans="1:6" s="3" customFormat="1" x14ac:dyDescent="0.25">
      <c r="B55" s="81" t="s">
        <v>4364</v>
      </c>
      <c r="D55" s="81">
        <v>2</v>
      </c>
      <c r="E55" s="81">
        <v>1070</v>
      </c>
      <c r="F55" s="81"/>
    </row>
    <row r="56" spans="1:6" s="3" customFormat="1" x14ac:dyDescent="0.25">
      <c r="B56" s="81" t="s">
        <v>4399</v>
      </c>
      <c r="D56" s="81">
        <v>2</v>
      </c>
      <c r="E56" s="81">
        <v>3699</v>
      </c>
      <c r="F56" s="81"/>
    </row>
    <row r="57" spans="1:6" s="3" customFormat="1" x14ac:dyDescent="0.25">
      <c r="B57" s="81" t="s">
        <v>4400</v>
      </c>
      <c r="D57" s="81">
        <v>2</v>
      </c>
      <c r="E57" s="81">
        <v>2969</v>
      </c>
      <c r="F57" s="81"/>
    </row>
    <row r="58" spans="1:6" s="3" customFormat="1" x14ac:dyDescent="0.25">
      <c r="B58" s="81" t="s">
        <v>4403</v>
      </c>
      <c r="C58"/>
      <c r="D58" s="81">
        <v>2</v>
      </c>
      <c r="E58" s="81">
        <v>1627</v>
      </c>
      <c r="F58" s="81"/>
    </row>
    <row r="59" spans="1:6" s="3" customFormat="1" x14ac:dyDescent="0.25">
      <c r="B59" s="81" t="s">
        <v>4408</v>
      </c>
      <c r="D59" s="81">
        <v>2</v>
      </c>
      <c r="E59" s="81">
        <v>3400</v>
      </c>
      <c r="F59" s="81"/>
    </row>
    <row r="60" spans="1:6" s="3" customFormat="1" x14ac:dyDescent="0.25">
      <c r="B60" s="81" t="s">
        <v>4590</v>
      </c>
      <c r="D60" s="81">
        <v>2</v>
      </c>
      <c r="E60" s="81">
        <v>1450</v>
      </c>
      <c r="F60" s="81"/>
    </row>
    <row r="61" spans="1:6" s="3" customFormat="1" x14ac:dyDescent="0.25">
      <c r="A61" s="81">
        <v>222</v>
      </c>
      <c r="B61" s="81" t="s">
        <v>4206</v>
      </c>
      <c r="C61" s="81"/>
      <c r="D61" s="81">
        <v>2</v>
      </c>
      <c r="E61" s="81">
        <v>900</v>
      </c>
      <c r="F61" s="81"/>
    </row>
    <row r="62" spans="1:6" s="3" customFormat="1" x14ac:dyDescent="0.25">
      <c r="B62" s="81">
        <v>33112</v>
      </c>
      <c r="D62" s="81">
        <v>2</v>
      </c>
      <c r="E62" s="81">
        <v>2324</v>
      </c>
      <c r="F62" s="81"/>
    </row>
    <row r="63" spans="1:6" s="3" customFormat="1" x14ac:dyDescent="0.25">
      <c r="B63" s="81" t="s">
        <v>4610</v>
      </c>
      <c r="D63" s="81">
        <v>2</v>
      </c>
      <c r="E63" s="81">
        <v>1862</v>
      </c>
      <c r="F63" s="81"/>
    </row>
    <row r="64" spans="1:6" s="3" customFormat="1" x14ac:dyDescent="0.25">
      <c r="B64" s="81" t="s">
        <v>4645</v>
      </c>
      <c r="D64" s="81">
        <v>1</v>
      </c>
      <c r="E64" s="81">
        <v>3960</v>
      </c>
      <c r="F64" s="81"/>
    </row>
    <row r="65" spans="1:6" s="3" customFormat="1" x14ac:dyDescent="0.25">
      <c r="B65" s="81" t="s">
        <v>4402</v>
      </c>
      <c r="D65" s="81">
        <v>3</v>
      </c>
      <c r="E65" s="81">
        <v>1828</v>
      </c>
      <c r="F65" s="81"/>
    </row>
    <row r="66" spans="1:6" s="3" customFormat="1" x14ac:dyDescent="0.25">
      <c r="A66" s="81"/>
      <c r="B66" s="81" t="s">
        <v>4305</v>
      </c>
      <c r="C66" s="81"/>
      <c r="D66" s="81">
        <v>3</v>
      </c>
      <c r="E66" s="81">
        <v>1458</v>
      </c>
      <c r="F66" s="81"/>
    </row>
    <row r="67" spans="1:6" s="3" customFormat="1" x14ac:dyDescent="0.25">
      <c r="B67" s="81" t="s">
        <v>4401</v>
      </c>
      <c r="D67" s="81">
        <v>3</v>
      </c>
      <c r="E67" s="81">
        <v>2119</v>
      </c>
      <c r="F67" s="81"/>
    </row>
    <row r="68" spans="1:6" s="3" customFormat="1" x14ac:dyDescent="0.25">
      <c r="B68" s="81" t="s">
        <v>4415</v>
      </c>
      <c r="D68" s="81">
        <v>3</v>
      </c>
      <c r="E68" s="81">
        <v>1848</v>
      </c>
      <c r="F68" s="81"/>
    </row>
    <row r="69" spans="1:6" s="3" customFormat="1" x14ac:dyDescent="0.25">
      <c r="B69" s="81" t="s">
        <v>4453</v>
      </c>
      <c r="D69" s="81">
        <v>3</v>
      </c>
      <c r="E69" s="81">
        <v>1525</v>
      </c>
      <c r="F69" s="81"/>
    </row>
    <row r="70" spans="1:6" s="3" customFormat="1" x14ac:dyDescent="0.25">
      <c r="B70" s="81" t="s">
        <v>4362</v>
      </c>
      <c r="D70" s="81">
        <v>3</v>
      </c>
      <c r="E70" s="81">
        <v>1244</v>
      </c>
      <c r="F70" s="81"/>
    </row>
    <row r="71" spans="1:6" s="3" customFormat="1" x14ac:dyDescent="0.25">
      <c r="A71" s="81">
        <v>162</v>
      </c>
      <c r="B71" s="81" t="s">
        <v>4048</v>
      </c>
      <c r="C71" s="81"/>
      <c r="D71" s="81">
        <v>3</v>
      </c>
      <c r="E71" s="81">
        <v>2050</v>
      </c>
      <c r="F71" s="81"/>
    </row>
    <row r="72" spans="1:6" s="3" customFormat="1" x14ac:dyDescent="0.25">
      <c r="A72" s="81">
        <v>183</v>
      </c>
      <c r="B72" s="81" t="s">
        <v>4065</v>
      </c>
      <c r="C72" s="81"/>
      <c r="D72" s="81">
        <v>3</v>
      </c>
      <c r="E72" s="81">
        <v>1528</v>
      </c>
      <c r="F72" s="81"/>
    </row>
    <row r="73" spans="1:6" s="3" customFormat="1" x14ac:dyDescent="0.25">
      <c r="A73" s="81">
        <v>199</v>
      </c>
      <c r="B73" s="81" t="s">
        <v>4083</v>
      </c>
      <c r="C73" s="81"/>
      <c r="D73" s="81">
        <v>3</v>
      </c>
      <c r="E73" s="81">
        <v>2187</v>
      </c>
      <c r="F73" s="81"/>
    </row>
    <row r="74" spans="1:6" s="3" customFormat="1" x14ac:dyDescent="0.25">
      <c r="A74" s="81">
        <v>224</v>
      </c>
      <c r="B74" s="81" t="s">
        <v>4208</v>
      </c>
      <c r="C74" s="81"/>
      <c r="D74" s="81">
        <v>3</v>
      </c>
      <c r="E74" s="81">
        <v>840</v>
      </c>
      <c r="F74" s="81"/>
    </row>
    <row r="75" spans="1:6" s="3" customFormat="1" x14ac:dyDescent="0.25">
      <c r="B75" s="81" t="s">
        <v>4290</v>
      </c>
      <c r="D75" s="81">
        <v>3</v>
      </c>
      <c r="E75" s="81">
        <v>4160</v>
      </c>
      <c r="F75" s="81"/>
    </row>
    <row r="76" spans="1:6" s="3" customFormat="1" x14ac:dyDescent="0.25">
      <c r="B76" s="81">
        <v>33210</v>
      </c>
      <c r="D76" s="81">
        <v>3</v>
      </c>
      <c r="E76" s="81">
        <v>2152</v>
      </c>
      <c r="F76" s="81"/>
    </row>
    <row r="77" spans="1:6" s="3" customFormat="1" x14ac:dyDescent="0.25">
      <c r="A77" s="81">
        <v>230</v>
      </c>
      <c r="B77" s="81" t="s">
        <v>4214</v>
      </c>
      <c r="C77" s="81"/>
      <c r="D77" s="81">
        <v>3</v>
      </c>
      <c r="E77" s="81">
        <v>734</v>
      </c>
      <c r="F77" s="81"/>
    </row>
    <row r="78" spans="1:6" s="3" customFormat="1" x14ac:dyDescent="0.25">
      <c r="B78" s="81" t="s">
        <v>4404</v>
      </c>
      <c r="D78" s="81">
        <v>3</v>
      </c>
      <c r="E78" s="81">
        <v>1040</v>
      </c>
      <c r="F78" s="81"/>
    </row>
    <row r="79" spans="1:6" s="3" customFormat="1" x14ac:dyDescent="0.25">
      <c r="B79" s="81" t="s">
        <v>4405</v>
      </c>
      <c r="D79" s="81">
        <v>3</v>
      </c>
      <c r="E79" s="81">
        <v>733</v>
      </c>
      <c r="F79" s="81"/>
    </row>
    <row r="80" spans="1:6" s="3" customFormat="1" x14ac:dyDescent="0.25">
      <c r="B80" s="81" t="s">
        <v>4410</v>
      </c>
      <c r="D80" s="81">
        <v>3</v>
      </c>
      <c r="E80" s="81">
        <v>1559</v>
      </c>
      <c r="F80" s="81"/>
    </row>
    <row r="81" spans="1:6" s="3" customFormat="1" x14ac:dyDescent="0.25">
      <c r="B81" s="81" t="s">
        <v>4411</v>
      </c>
      <c r="D81" s="81">
        <v>3</v>
      </c>
      <c r="E81" s="81">
        <v>603</v>
      </c>
      <c r="F81" s="81"/>
    </row>
    <row r="82" spans="1:6" s="3" customFormat="1" x14ac:dyDescent="0.25">
      <c r="A82" s="81">
        <v>221</v>
      </c>
      <c r="B82" s="81" t="s">
        <v>4205</v>
      </c>
      <c r="C82" s="81"/>
      <c r="D82" s="81">
        <v>3</v>
      </c>
      <c r="E82" s="81">
        <v>790</v>
      </c>
      <c r="F82" s="81"/>
    </row>
    <row r="83" spans="1:6" s="3" customFormat="1" x14ac:dyDescent="0.25">
      <c r="A83" s="81"/>
      <c r="B83" s="81" t="s">
        <v>4358</v>
      </c>
      <c r="C83" s="81"/>
      <c r="D83" s="81">
        <v>3</v>
      </c>
      <c r="E83" s="81">
        <v>1057</v>
      </c>
      <c r="F83" s="81"/>
    </row>
    <row r="84" spans="1:6" s="3" customFormat="1" x14ac:dyDescent="0.25">
      <c r="A84" s="81">
        <v>139</v>
      </c>
      <c r="B84" s="81" t="s">
        <v>4086</v>
      </c>
      <c r="C84" s="81"/>
      <c r="D84" s="81">
        <v>3</v>
      </c>
      <c r="E84" s="81" t="s">
        <v>4118</v>
      </c>
      <c r="F84" s="81" t="s">
        <v>4119</v>
      </c>
    </row>
    <row r="85" spans="1:6" s="3" customFormat="1" x14ac:dyDescent="0.25">
      <c r="B85" s="81" t="s">
        <v>4646</v>
      </c>
      <c r="D85" s="81">
        <v>0</v>
      </c>
      <c r="E85" s="81">
        <v>1600</v>
      </c>
      <c r="F85" s="81"/>
    </row>
    <row r="86" spans="1:6" s="3" customFormat="1" x14ac:dyDescent="0.25">
      <c r="B86" s="81" t="s">
        <v>4647</v>
      </c>
      <c r="D86" s="81">
        <v>0</v>
      </c>
      <c r="E86" s="81">
        <v>1410</v>
      </c>
      <c r="F86" s="81"/>
    </row>
    <row r="87" spans="1:6" x14ac:dyDescent="0.25">
      <c r="A87" s="81">
        <v>210</v>
      </c>
      <c r="B87" s="81" t="s">
        <v>4132</v>
      </c>
      <c r="C87" s="81"/>
      <c r="D87" s="81">
        <v>4</v>
      </c>
      <c r="E87" s="81">
        <v>3548</v>
      </c>
    </row>
    <row r="88" spans="1:6" x14ac:dyDescent="0.25">
      <c r="A88" s="3"/>
      <c r="B88" s="81" t="s">
        <v>4398</v>
      </c>
      <c r="C88" s="3"/>
      <c r="D88" s="81">
        <v>4</v>
      </c>
      <c r="E88" s="81">
        <v>4855</v>
      </c>
    </row>
    <row r="89" spans="1:6" x14ac:dyDescent="0.25">
      <c r="A89" s="3"/>
      <c r="B89" s="81" t="s">
        <v>4300</v>
      </c>
      <c r="C89" s="3"/>
      <c r="D89" s="81">
        <v>4</v>
      </c>
      <c r="E89" s="81" t="s">
        <v>4624</v>
      </c>
    </row>
    <row r="90" spans="1:6" s="3" customFormat="1" x14ac:dyDescent="0.25">
      <c r="A90" s="81">
        <v>114</v>
      </c>
      <c r="B90" s="81">
        <v>6311</v>
      </c>
      <c r="C90" s="81"/>
      <c r="D90" s="81">
        <v>4</v>
      </c>
      <c r="E90" s="81">
        <v>1924</v>
      </c>
      <c r="F90" s="81"/>
    </row>
    <row r="91" spans="1:6" s="3" customFormat="1" x14ac:dyDescent="0.25">
      <c r="A91" s="81">
        <v>116</v>
      </c>
      <c r="B91" s="81" t="s">
        <v>4037</v>
      </c>
      <c r="C91" s="81"/>
      <c r="D91" s="81">
        <v>4</v>
      </c>
      <c r="E91" s="81">
        <v>2255</v>
      </c>
      <c r="F91" s="81"/>
    </row>
    <row r="92" spans="1:6" s="3" customFormat="1" x14ac:dyDescent="0.25">
      <c r="A92" s="81">
        <v>117</v>
      </c>
      <c r="B92" s="81" t="s">
        <v>4038</v>
      </c>
      <c r="C92" s="81"/>
      <c r="D92" s="81">
        <v>4</v>
      </c>
      <c r="E92" s="81">
        <v>2375</v>
      </c>
      <c r="F92" s="81"/>
    </row>
    <row r="93" spans="1:6" s="3" customFormat="1" x14ac:dyDescent="0.25">
      <c r="A93" s="81"/>
      <c r="B93" s="81" t="s">
        <v>4378</v>
      </c>
      <c r="C93" s="81"/>
      <c r="D93" s="81">
        <v>4</v>
      </c>
      <c r="E93" s="81">
        <v>3948</v>
      </c>
      <c r="F93" s="81"/>
    </row>
    <row r="94" spans="1:6" x14ac:dyDescent="0.25">
      <c r="A94" s="81">
        <v>152</v>
      </c>
      <c r="B94" s="81">
        <v>30214</v>
      </c>
      <c r="C94" s="81"/>
      <c r="D94" s="81">
        <v>4</v>
      </c>
      <c r="E94" s="81">
        <v>1993</v>
      </c>
    </row>
    <row r="95" spans="1:6" x14ac:dyDescent="0.25">
      <c r="A95" s="81">
        <v>160</v>
      </c>
      <c r="B95" s="81" t="s">
        <v>4046</v>
      </c>
      <c r="C95" s="81"/>
      <c r="D95" s="81">
        <v>4</v>
      </c>
      <c r="E95" s="81">
        <v>2580</v>
      </c>
    </row>
    <row r="96" spans="1:6" x14ac:dyDescent="0.25">
      <c r="A96" s="81">
        <v>223</v>
      </c>
      <c r="B96" s="81" t="s">
        <v>4207</v>
      </c>
      <c r="C96" s="81"/>
      <c r="D96" s="81">
        <v>4</v>
      </c>
      <c r="E96" s="81">
        <v>1000</v>
      </c>
    </row>
    <row r="97" spans="1:6" x14ac:dyDescent="0.25">
      <c r="A97" s="3"/>
      <c r="B97" s="81" t="s">
        <v>4307</v>
      </c>
      <c r="C97" s="3"/>
      <c r="D97" s="81">
        <v>4</v>
      </c>
      <c r="E97" s="81">
        <v>2150</v>
      </c>
    </row>
    <row r="98" spans="1:6" s="3" customFormat="1" x14ac:dyDescent="0.25">
      <c r="B98" s="81" t="s">
        <v>4366</v>
      </c>
      <c r="D98" s="81">
        <v>4</v>
      </c>
      <c r="E98" s="81">
        <v>1970</v>
      </c>
      <c r="F98" s="81"/>
    </row>
    <row r="99" spans="1:6" s="3" customFormat="1" x14ac:dyDescent="0.25">
      <c r="B99" s="81" t="s">
        <v>4368</v>
      </c>
      <c r="D99" s="81">
        <v>4</v>
      </c>
      <c r="E99" s="81">
        <v>1932</v>
      </c>
      <c r="F99" s="81"/>
    </row>
    <row r="100" spans="1:6" s="3" customFormat="1" x14ac:dyDescent="0.25">
      <c r="B100" s="81" t="s">
        <v>4395</v>
      </c>
      <c r="C100" s="3" t="s">
        <v>4442</v>
      </c>
      <c r="D100" s="81">
        <v>4</v>
      </c>
      <c r="E100" s="81" t="s">
        <v>4396</v>
      </c>
      <c r="F100" s="81" t="s">
        <v>4397</v>
      </c>
    </row>
    <row r="101" spans="1:6" s="3" customFormat="1" x14ac:dyDescent="0.25">
      <c r="B101" s="81" t="s">
        <v>4412</v>
      </c>
      <c r="D101" s="81">
        <v>4</v>
      </c>
      <c r="E101" s="81">
        <v>1525</v>
      </c>
      <c r="F101" s="81"/>
    </row>
    <row r="102" spans="1:6" s="3" customFormat="1" x14ac:dyDescent="0.25">
      <c r="B102" s="81" t="s">
        <v>4413</v>
      </c>
      <c r="D102" s="81">
        <v>4</v>
      </c>
      <c r="E102" s="81">
        <v>2372</v>
      </c>
      <c r="F102" s="81"/>
    </row>
    <row r="103" spans="1:6" s="3" customFormat="1" x14ac:dyDescent="0.25">
      <c r="B103" s="81" t="s">
        <v>4363</v>
      </c>
      <c r="D103" s="81">
        <v>4</v>
      </c>
      <c r="E103" s="81">
        <v>1148</v>
      </c>
      <c r="F103" s="81"/>
    </row>
    <row r="104" spans="1:6" s="3" customFormat="1" x14ac:dyDescent="0.25">
      <c r="A104" s="81">
        <v>112</v>
      </c>
      <c r="B104" s="81" t="s">
        <v>4151</v>
      </c>
      <c r="C104" s="81"/>
      <c r="D104" s="81">
        <v>4</v>
      </c>
      <c r="E104" s="81">
        <v>1430</v>
      </c>
      <c r="F104" s="81"/>
    </row>
    <row r="105" spans="1:6" s="3" customFormat="1" x14ac:dyDescent="0.25">
      <c r="B105" s="81" t="s">
        <v>4409</v>
      </c>
      <c r="D105" s="81">
        <v>4</v>
      </c>
      <c r="E105" s="81">
        <v>2179</v>
      </c>
      <c r="F105" s="81"/>
    </row>
    <row r="106" spans="1:6" s="3" customFormat="1" x14ac:dyDescent="0.25">
      <c r="A106" s="81">
        <v>143</v>
      </c>
      <c r="B106" s="81">
        <v>30206</v>
      </c>
      <c r="C106" s="84"/>
      <c r="D106" s="81">
        <v>4</v>
      </c>
      <c r="E106" s="81">
        <v>664</v>
      </c>
      <c r="F106" s="81"/>
    </row>
    <row r="107" spans="1:6" s="3" customFormat="1" x14ac:dyDescent="0.25">
      <c r="B107" s="81" t="s">
        <v>4586</v>
      </c>
      <c r="D107" s="81">
        <v>4</v>
      </c>
      <c r="E107" s="81">
        <v>1460</v>
      </c>
      <c r="F107" s="81"/>
    </row>
    <row r="108" spans="1:6" s="3" customFormat="1" x14ac:dyDescent="0.25">
      <c r="B108" s="81" t="s">
        <v>4432</v>
      </c>
      <c r="D108" s="81">
        <v>4</v>
      </c>
      <c r="E108" s="81">
        <v>1734</v>
      </c>
      <c r="F108" s="81"/>
    </row>
    <row r="109" spans="1:6" s="3" customFormat="1" x14ac:dyDescent="0.25">
      <c r="A109" s="81">
        <v>175</v>
      </c>
      <c r="B109" s="81" t="s">
        <v>4188</v>
      </c>
      <c r="C109" s="84"/>
      <c r="D109" s="81">
        <v>4</v>
      </c>
      <c r="E109" s="81">
        <v>1296</v>
      </c>
      <c r="F109" s="81"/>
    </row>
    <row r="110" spans="1:6" s="3" customFormat="1" x14ac:dyDescent="0.25">
      <c r="B110" s="81" t="s">
        <v>4611</v>
      </c>
      <c r="D110" s="81">
        <v>4</v>
      </c>
      <c r="E110" s="81">
        <v>1139</v>
      </c>
      <c r="F110" s="81"/>
    </row>
    <row r="111" spans="1:6" s="3" customFormat="1" x14ac:dyDescent="0.25">
      <c r="B111" s="81" t="s">
        <v>4626</v>
      </c>
      <c r="D111" s="81">
        <v>4</v>
      </c>
      <c r="E111" s="81">
        <v>2140</v>
      </c>
      <c r="F111" s="81"/>
    </row>
    <row r="112" spans="1:6" s="3" customFormat="1" x14ac:dyDescent="0.25">
      <c r="A112" s="81">
        <v>149</v>
      </c>
      <c r="B112" s="81">
        <v>30211</v>
      </c>
      <c r="C112" s="81"/>
      <c r="D112" s="81">
        <v>4</v>
      </c>
      <c r="E112" s="81">
        <v>1578</v>
      </c>
      <c r="F112" s="81"/>
    </row>
    <row r="113" spans="1:6" s="3" customFormat="1" x14ac:dyDescent="0.25">
      <c r="A113" s="81">
        <v>65</v>
      </c>
      <c r="B113" s="81">
        <v>6210</v>
      </c>
      <c r="C113" s="81"/>
      <c r="D113" s="81">
        <v>4</v>
      </c>
      <c r="E113" s="81">
        <v>717</v>
      </c>
      <c r="F113" s="81"/>
    </row>
    <row r="114" spans="1:6" s="3" customFormat="1" x14ac:dyDescent="0.25">
      <c r="A114" s="81">
        <v>67</v>
      </c>
      <c r="B114" s="81" t="s">
        <v>4081</v>
      </c>
      <c r="C114" s="81"/>
      <c r="D114" s="81">
        <v>5</v>
      </c>
      <c r="E114" s="81">
        <v>851</v>
      </c>
      <c r="F114" s="81"/>
    </row>
    <row r="115" spans="1:6" s="3" customFormat="1" x14ac:dyDescent="0.25">
      <c r="B115" s="81" t="s">
        <v>4589</v>
      </c>
      <c r="D115" s="81">
        <v>5</v>
      </c>
      <c r="E115" s="81">
        <v>1100</v>
      </c>
      <c r="F115" s="81"/>
    </row>
    <row r="116" spans="1:6" s="3" customFormat="1" x14ac:dyDescent="0.25">
      <c r="B116" s="81" t="s">
        <v>4591</v>
      </c>
      <c r="D116" s="81">
        <v>5</v>
      </c>
      <c r="E116" s="81">
        <v>1240</v>
      </c>
      <c r="F116" s="81"/>
    </row>
    <row r="117" spans="1:6" s="3" customFormat="1" x14ac:dyDescent="0.25">
      <c r="A117" s="81"/>
      <c r="B117" s="81" t="s">
        <v>4533</v>
      </c>
      <c r="D117" s="81">
        <v>5</v>
      </c>
      <c r="E117" s="81">
        <v>480</v>
      </c>
      <c r="F117" s="81"/>
    </row>
    <row r="118" spans="1:6" s="3" customFormat="1" x14ac:dyDescent="0.25">
      <c r="A118" s="81"/>
      <c r="B118" s="81" t="s">
        <v>2342</v>
      </c>
      <c r="C118" s="81"/>
      <c r="D118" s="81">
        <v>5</v>
      </c>
      <c r="E118" s="81"/>
      <c r="F118" s="81"/>
    </row>
    <row r="119" spans="1:6" s="3" customFormat="1" x14ac:dyDescent="0.25">
      <c r="A119" s="81"/>
      <c r="B119" s="81" t="s">
        <v>4495</v>
      </c>
      <c r="C119" s="81"/>
      <c r="D119" s="81">
        <v>5</v>
      </c>
      <c r="E119" s="81">
        <v>1266</v>
      </c>
      <c r="F119" s="81"/>
    </row>
    <row r="120" spans="1:6" s="3" customFormat="1" x14ac:dyDescent="0.25">
      <c r="A120" s="81"/>
      <c r="B120" s="81" t="s">
        <v>4238</v>
      </c>
      <c r="D120" s="81">
        <v>5</v>
      </c>
      <c r="E120" s="81">
        <v>593</v>
      </c>
      <c r="F120" s="81"/>
    </row>
    <row r="121" spans="1:6" s="3" customFormat="1" x14ac:dyDescent="0.25">
      <c r="A121" s="81">
        <v>161</v>
      </c>
      <c r="B121" s="81" t="s">
        <v>4047</v>
      </c>
      <c r="C121" s="81"/>
      <c r="D121" s="81">
        <v>5</v>
      </c>
      <c r="E121" s="81">
        <v>1557</v>
      </c>
      <c r="F121" s="81"/>
    </row>
    <row r="122" spans="1:6" s="3" customFormat="1" x14ac:dyDescent="0.25">
      <c r="A122" s="81">
        <v>202</v>
      </c>
      <c r="B122" s="81" t="s">
        <v>4110</v>
      </c>
      <c r="C122" s="81"/>
      <c r="D122" s="81">
        <v>5</v>
      </c>
      <c r="E122" s="81">
        <v>1007</v>
      </c>
      <c r="F122" s="81"/>
    </row>
    <row r="123" spans="1:6" s="3" customFormat="1" x14ac:dyDescent="0.25">
      <c r="A123" s="81">
        <v>228</v>
      </c>
      <c r="B123" s="81" t="s">
        <v>4212</v>
      </c>
      <c r="C123" s="81"/>
      <c r="D123" s="81">
        <v>5</v>
      </c>
      <c r="E123" s="81">
        <v>992</v>
      </c>
      <c r="F123" s="81"/>
    </row>
    <row r="124" spans="1:6" x14ac:dyDescent="0.25">
      <c r="A124" s="81">
        <v>251</v>
      </c>
      <c r="B124" s="81">
        <v>5111</v>
      </c>
      <c r="C124" s="3"/>
      <c r="D124" s="81">
        <v>5</v>
      </c>
      <c r="E124" s="81">
        <v>913</v>
      </c>
    </row>
    <row r="125" spans="1:6" x14ac:dyDescent="0.25">
      <c r="A125" s="3"/>
      <c r="B125" s="81" t="s">
        <v>4308</v>
      </c>
      <c r="C125" s="3"/>
      <c r="D125" s="81">
        <v>5</v>
      </c>
      <c r="E125" s="81">
        <v>425</v>
      </c>
    </row>
    <row r="126" spans="1:6" x14ac:dyDescent="0.25">
      <c r="A126" s="3"/>
      <c r="B126" s="81" t="s">
        <v>4309</v>
      </c>
      <c r="C126" s="3"/>
      <c r="D126" s="81">
        <v>5</v>
      </c>
      <c r="E126" s="81">
        <v>509</v>
      </c>
    </row>
    <row r="127" spans="1:6" s="3" customFormat="1" x14ac:dyDescent="0.25">
      <c r="B127" s="81" t="s">
        <v>4414</v>
      </c>
      <c r="D127" s="81">
        <v>5</v>
      </c>
      <c r="E127" s="81">
        <v>2372</v>
      </c>
      <c r="F127" s="81"/>
    </row>
    <row r="128" spans="1:6" s="3" customFormat="1" x14ac:dyDescent="0.25">
      <c r="B128" s="81" t="s">
        <v>4486</v>
      </c>
      <c r="D128" s="81">
        <v>5</v>
      </c>
      <c r="E128" s="81">
        <v>671</v>
      </c>
      <c r="F128" s="81"/>
    </row>
    <row r="129" spans="1:6" s="3" customFormat="1" x14ac:dyDescent="0.25">
      <c r="B129" s="81">
        <v>51106</v>
      </c>
      <c r="D129" s="81">
        <v>5</v>
      </c>
      <c r="E129" s="81"/>
      <c r="F129" s="81"/>
    </row>
    <row r="130" spans="1:6" x14ac:dyDescent="0.25">
      <c r="A130" s="3"/>
      <c r="B130" s="81" t="s">
        <v>4563</v>
      </c>
      <c r="C130" s="3"/>
      <c r="D130" s="81">
        <v>5</v>
      </c>
      <c r="E130" s="81">
        <v>525</v>
      </c>
    </row>
    <row r="131" spans="1:6" x14ac:dyDescent="0.25">
      <c r="A131" s="3"/>
      <c r="B131" s="81" t="s">
        <v>4363</v>
      </c>
      <c r="C131" s="3"/>
      <c r="D131" s="81">
        <v>5</v>
      </c>
      <c r="E131" s="81">
        <v>1148</v>
      </c>
    </row>
    <row r="132" spans="1:6" x14ac:dyDescent="0.25">
      <c r="A132" s="3"/>
      <c r="B132" s="81" t="s">
        <v>4444</v>
      </c>
      <c r="C132" s="3"/>
      <c r="D132" s="81">
        <v>5</v>
      </c>
      <c r="E132" s="81">
        <v>1087</v>
      </c>
    </row>
    <row r="133" spans="1:6" s="3" customFormat="1" x14ac:dyDescent="0.25">
      <c r="A133" s="81">
        <v>159</v>
      </c>
      <c r="B133" s="81">
        <v>30312</v>
      </c>
      <c r="D133" s="81">
        <v>5</v>
      </c>
      <c r="E133" s="81">
        <v>3402</v>
      </c>
      <c r="F133" s="81"/>
    </row>
    <row r="134" spans="1:6" s="3" customFormat="1" x14ac:dyDescent="0.25">
      <c r="B134" s="81" t="s">
        <v>4291</v>
      </c>
      <c r="D134" s="81">
        <v>5</v>
      </c>
      <c r="E134" s="81">
        <v>1821</v>
      </c>
      <c r="F134" s="81"/>
    </row>
    <row r="135" spans="1:6" s="3" customFormat="1" x14ac:dyDescent="0.25">
      <c r="A135" s="81">
        <v>246</v>
      </c>
      <c r="B135" s="81">
        <v>33111</v>
      </c>
      <c r="D135" s="81">
        <v>5</v>
      </c>
      <c r="E135" s="81">
        <v>1530</v>
      </c>
      <c r="F135" s="81"/>
    </row>
    <row r="136" spans="1:6" s="3" customFormat="1" x14ac:dyDescent="0.25">
      <c r="A136" s="81"/>
      <c r="B136" s="81" t="s">
        <v>4520</v>
      </c>
      <c r="C136" s="84"/>
      <c r="D136" s="81">
        <v>5</v>
      </c>
      <c r="E136" s="81">
        <v>197</v>
      </c>
      <c r="F136" s="81"/>
    </row>
    <row r="137" spans="1:6" s="3" customFormat="1" x14ac:dyDescent="0.25">
      <c r="B137" s="81" t="s">
        <v>4595</v>
      </c>
      <c r="D137" s="81">
        <v>5</v>
      </c>
      <c r="E137" s="81">
        <v>1080</v>
      </c>
      <c r="F137" s="81"/>
    </row>
    <row r="138" spans="1:6" x14ac:dyDescent="0.25">
      <c r="A138" s="3"/>
      <c r="B138" s="81" t="s">
        <v>4616</v>
      </c>
      <c r="C138" s="3"/>
      <c r="D138" s="81">
        <v>5</v>
      </c>
      <c r="E138" s="81">
        <v>984</v>
      </c>
    </row>
    <row r="139" spans="1:6" x14ac:dyDescent="0.25">
      <c r="A139" s="81">
        <v>124</v>
      </c>
      <c r="B139" s="81" t="s">
        <v>4040</v>
      </c>
      <c r="C139" s="81"/>
      <c r="D139" s="81">
        <v>5</v>
      </c>
      <c r="E139" s="81">
        <v>2702</v>
      </c>
    </row>
    <row r="140" spans="1:6" x14ac:dyDescent="0.25">
      <c r="A140" s="81">
        <v>108</v>
      </c>
      <c r="B140" s="81" t="s">
        <v>4034</v>
      </c>
      <c r="C140" s="81"/>
      <c r="D140" s="81">
        <v>5</v>
      </c>
      <c r="E140" s="81">
        <v>1352</v>
      </c>
    </row>
    <row r="141" spans="1:6" x14ac:dyDescent="0.25">
      <c r="A141" s="3"/>
      <c r="B141" s="81">
        <v>31306</v>
      </c>
      <c r="C141" s="3"/>
      <c r="D141" s="81">
        <v>5</v>
      </c>
      <c r="E141" s="81">
        <v>995</v>
      </c>
    </row>
    <row r="142" spans="1:6" x14ac:dyDescent="0.25">
      <c r="A142" s="3"/>
      <c r="B142" s="81" t="s">
        <v>4644</v>
      </c>
      <c r="C142" s="3"/>
      <c r="D142" s="81">
        <v>5</v>
      </c>
      <c r="E142" s="81">
        <v>1770</v>
      </c>
    </row>
    <row r="143" spans="1:6" x14ac:dyDescent="0.25">
      <c r="A143" s="81">
        <v>74</v>
      </c>
      <c r="B143" s="81">
        <v>6212</v>
      </c>
      <c r="C143" s="81"/>
      <c r="D143" s="81">
        <v>6</v>
      </c>
      <c r="E143" s="81">
        <v>917</v>
      </c>
    </row>
    <row r="144" spans="1:6" s="3" customFormat="1" x14ac:dyDescent="0.25">
      <c r="B144" s="81" t="s">
        <v>4407</v>
      </c>
      <c r="D144" s="81">
        <v>6</v>
      </c>
      <c r="E144" s="81" t="s">
        <v>4648</v>
      </c>
      <c r="F144" s="81"/>
    </row>
    <row r="145" spans="1:6" s="3" customFormat="1" x14ac:dyDescent="0.25">
      <c r="A145" s="81">
        <v>138</v>
      </c>
      <c r="B145" s="81" t="s">
        <v>4085</v>
      </c>
      <c r="C145" s="81"/>
      <c r="D145" s="81">
        <v>6</v>
      </c>
      <c r="E145" s="81">
        <v>2770</v>
      </c>
      <c r="F145" s="81"/>
    </row>
    <row r="146" spans="1:6" x14ac:dyDescent="0.25">
      <c r="A146" s="3"/>
      <c r="B146" s="81" t="s">
        <v>4587</v>
      </c>
      <c r="C146" s="3"/>
      <c r="D146" s="81">
        <v>6</v>
      </c>
      <c r="E146" s="81">
        <v>1220</v>
      </c>
    </row>
    <row r="147" spans="1:6" x14ac:dyDescent="0.25">
      <c r="A147" s="81">
        <v>8</v>
      </c>
      <c r="B147" s="81" t="s">
        <v>4023</v>
      </c>
      <c r="C147" s="81"/>
      <c r="D147" s="81">
        <v>6</v>
      </c>
      <c r="E147" s="81" t="s">
        <v>4101</v>
      </c>
      <c r="F147" s="81" t="s">
        <v>4102</v>
      </c>
    </row>
    <row r="148" spans="1:6" x14ac:dyDescent="0.25">
      <c r="A148" s="81"/>
      <c r="B148" s="81" t="s">
        <v>4479</v>
      </c>
      <c r="C148" s="3"/>
      <c r="D148" s="81">
        <v>6</v>
      </c>
      <c r="E148" s="81">
        <v>407</v>
      </c>
    </row>
    <row r="149" spans="1:6" s="3" customFormat="1" x14ac:dyDescent="0.25">
      <c r="A149" s="81">
        <v>54</v>
      </c>
      <c r="B149" s="81" t="s">
        <v>4127</v>
      </c>
      <c r="C149" s="81"/>
      <c r="D149" s="81">
        <v>6</v>
      </c>
      <c r="E149" s="81">
        <v>557</v>
      </c>
      <c r="F149" s="81"/>
    </row>
    <row r="150" spans="1:6" s="3" customFormat="1" x14ac:dyDescent="0.25">
      <c r="A150" s="81">
        <v>62</v>
      </c>
      <c r="B150" s="81" t="s">
        <v>4073</v>
      </c>
      <c r="C150" s="81"/>
      <c r="D150" s="81">
        <v>6</v>
      </c>
      <c r="E150" s="81">
        <v>750</v>
      </c>
      <c r="F150" s="81"/>
    </row>
    <row r="151" spans="1:6" s="3" customFormat="1" x14ac:dyDescent="0.25">
      <c r="A151" s="81">
        <v>75</v>
      </c>
      <c r="B151" s="81" t="s">
        <v>4092</v>
      </c>
      <c r="C151" s="81"/>
      <c r="D151" s="81">
        <v>6</v>
      </c>
      <c r="E151" s="81">
        <v>1008</v>
      </c>
      <c r="F151" s="81"/>
    </row>
    <row r="152" spans="1:6" s="3" customFormat="1" x14ac:dyDescent="0.25">
      <c r="A152" s="81">
        <v>111</v>
      </c>
      <c r="B152" s="81" t="s">
        <v>4269</v>
      </c>
      <c r="D152" s="81">
        <v>6</v>
      </c>
      <c r="E152" s="81">
        <v>1446</v>
      </c>
      <c r="F152" s="81"/>
    </row>
    <row r="153" spans="1:6" s="3" customFormat="1" x14ac:dyDescent="0.25">
      <c r="A153" s="81">
        <v>125</v>
      </c>
      <c r="B153" s="81" t="s">
        <v>4041</v>
      </c>
      <c r="C153" s="81"/>
      <c r="D153" s="81">
        <v>6</v>
      </c>
      <c r="E153" s="81">
        <v>2982</v>
      </c>
      <c r="F153" s="81"/>
    </row>
    <row r="154" spans="1:6" x14ac:dyDescent="0.25">
      <c r="A154" s="81"/>
      <c r="B154" s="81" t="s">
        <v>4379</v>
      </c>
      <c r="C154" s="81"/>
      <c r="D154" s="81">
        <v>6</v>
      </c>
      <c r="E154" s="81">
        <v>5163</v>
      </c>
    </row>
    <row r="155" spans="1:6" s="3" customFormat="1" x14ac:dyDescent="0.25">
      <c r="A155" s="81">
        <v>151</v>
      </c>
      <c r="B155" s="81">
        <v>30213</v>
      </c>
      <c r="C155" s="81"/>
      <c r="D155" s="81">
        <v>6</v>
      </c>
      <c r="E155" s="81">
        <v>2125</v>
      </c>
      <c r="F155" s="81"/>
    </row>
    <row r="156" spans="1:6" s="3" customFormat="1" x14ac:dyDescent="0.25">
      <c r="A156" s="81">
        <v>156</v>
      </c>
      <c r="B156" s="81">
        <v>30309</v>
      </c>
      <c r="C156" s="81"/>
      <c r="D156" s="81">
        <v>6</v>
      </c>
      <c r="E156" s="81">
        <v>1658</v>
      </c>
      <c r="F156" s="81"/>
    </row>
    <row r="157" spans="1:6" s="3" customFormat="1" x14ac:dyDescent="0.25">
      <c r="A157" s="81">
        <v>179</v>
      </c>
      <c r="B157" s="81" t="s">
        <v>4109</v>
      </c>
      <c r="C157" s="81"/>
      <c r="D157" s="81">
        <v>6</v>
      </c>
      <c r="E157" s="81">
        <v>2113</v>
      </c>
      <c r="F157" s="81"/>
    </row>
    <row r="158" spans="1:6" x14ac:dyDescent="0.25">
      <c r="A158" s="81">
        <v>218</v>
      </c>
      <c r="B158" s="81">
        <v>33207</v>
      </c>
      <c r="C158" s="81"/>
      <c r="D158" s="81">
        <v>6</v>
      </c>
      <c r="E158" s="81">
        <v>1540</v>
      </c>
    </row>
    <row r="159" spans="1:6" s="3" customFormat="1" x14ac:dyDescent="0.25">
      <c r="A159" s="81">
        <v>254</v>
      </c>
      <c r="B159" s="81" t="s">
        <v>4272</v>
      </c>
      <c r="D159" s="81">
        <v>6</v>
      </c>
      <c r="E159" s="81">
        <v>1371</v>
      </c>
      <c r="F159" s="81"/>
    </row>
    <row r="160" spans="1:6" s="3" customFormat="1" x14ac:dyDescent="0.25">
      <c r="B160" s="81">
        <v>32307</v>
      </c>
      <c r="D160" s="81">
        <v>6</v>
      </c>
      <c r="E160" s="81">
        <v>1318</v>
      </c>
      <c r="F160" s="81"/>
    </row>
    <row r="161" spans="1:6" x14ac:dyDescent="0.25">
      <c r="A161" s="3"/>
      <c r="B161" s="81" t="s">
        <v>4433</v>
      </c>
      <c r="C161" s="3"/>
      <c r="D161" s="81">
        <v>6</v>
      </c>
      <c r="E161" s="81">
        <v>1712</v>
      </c>
    </row>
    <row r="162" spans="1:6" x14ac:dyDescent="0.25">
      <c r="A162" s="3"/>
      <c r="B162" s="81" t="s">
        <v>4435</v>
      </c>
      <c r="C162" s="3"/>
      <c r="D162" s="81">
        <v>6</v>
      </c>
      <c r="E162" s="81">
        <v>913</v>
      </c>
    </row>
    <row r="163" spans="1:6" x14ac:dyDescent="0.25">
      <c r="A163" s="3"/>
      <c r="B163" s="81" t="s">
        <v>4446</v>
      </c>
      <c r="C163" s="3"/>
      <c r="D163" s="81">
        <v>6</v>
      </c>
      <c r="E163" s="81">
        <v>706</v>
      </c>
    </row>
    <row r="164" spans="1:6" x14ac:dyDescent="0.25">
      <c r="A164" s="3"/>
      <c r="B164" s="81" t="s">
        <v>4447</v>
      </c>
      <c r="C164" s="3"/>
      <c r="D164" s="81">
        <v>6</v>
      </c>
      <c r="E164" s="81">
        <v>2896</v>
      </c>
    </row>
    <row r="165" spans="1:6" x14ac:dyDescent="0.25">
      <c r="A165" s="81">
        <v>253</v>
      </c>
      <c r="B165" s="81" t="s">
        <v>4268</v>
      </c>
      <c r="C165" s="3"/>
      <c r="D165" s="81">
        <v>6</v>
      </c>
      <c r="E165" s="81">
        <v>1040</v>
      </c>
    </row>
    <row r="166" spans="1:6" s="3" customFormat="1" x14ac:dyDescent="0.25">
      <c r="A166" s="81">
        <v>130</v>
      </c>
      <c r="B166" s="81">
        <v>32209</v>
      </c>
      <c r="C166" s="81"/>
      <c r="D166" s="81">
        <v>6</v>
      </c>
      <c r="E166" s="81">
        <v>1031</v>
      </c>
      <c r="F166" s="81"/>
    </row>
    <row r="167" spans="1:6" x14ac:dyDescent="0.25">
      <c r="A167" s="81">
        <v>93</v>
      </c>
      <c r="B167" s="81" t="s">
        <v>4094</v>
      </c>
      <c r="C167" s="81"/>
      <c r="D167" s="81">
        <v>6</v>
      </c>
      <c r="E167" s="81">
        <v>393</v>
      </c>
    </row>
    <row r="168" spans="1:6" s="3" customFormat="1" x14ac:dyDescent="0.25">
      <c r="B168" s="81" t="s">
        <v>4588</v>
      </c>
      <c r="D168" s="81">
        <v>6</v>
      </c>
      <c r="E168" s="81">
        <v>1040</v>
      </c>
      <c r="F168" s="81"/>
    </row>
    <row r="169" spans="1:6" s="3" customFormat="1" x14ac:dyDescent="0.25">
      <c r="A169" s="81">
        <v>180</v>
      </c>
      <c r="B169" s="81" t="s">
        <v>4180</v>
      </c>
      <c r="C169" s="81"/>
      <c r="D169" s="81">
        <v>6</v>
      </c>
      <c r="E169" s="81">
        <v>1244</v>
      </c>
      <c r="F169" s="81"/>
    </row>
    <row r="170" spans="1:6" x14ac:dyDescent="0.25">
      <c r="A170" s="81">
        <v>169</v>
      </c>
      <c r="B170" s="81" t="s">
        <v>4057</v>
      </c>
      <c r="C170" s="81"/>
      <c r="D170" s="81">
        <v>6</v>
      </c>
      <c r="E170" s="81">
        <v>745</v>
      </c>
    </row>
    <row r="171" spans="1:6" x14ac:dyDescent="0.25">
      <c r="A171" s="81"/>
      <c r="B171" s="81" t="s">
        <v>4483</v>
      </c>
      <c r="C171" s="81"/>
      <c r="D171" s="81">
        <v>6</v>
      </c>
      <c r="E171" s="81">
        <v>1913</v>
      </c>
    </row>
    <row r="172" spans="1:6" s="3" customFormat="1" x14ac:dyDescent="0.25">
      <c r="B172" s="81" t="s">
        <v>4612</v>
      </c>
      <c r="D172" s="81">
        <v>6</v>
      </c>
      <c r="E172" s="81">
        <v>1254</v>
      </c>
      <c r="F172" s="81"/>
    </row>
    <row r="173" spans="1:6" x14ac:dyDescent="0.25">
      <c r="A173" s="81">
        <v>195</v>
      </c>
      <c r="B173" s="81" t="s">
        <v>4079</v>
      </c>
      <c r="C173" s="81"/>
      <c r="D173" s="81">
        <v>7</v>
      </c>
      <c r="E173" s="81" t="s">
        <v>4105</v>
      </c>
      <c r="F173" s="81" t="s">
        <v>4108</v>
      </c>
    </row>
    <row r="174" spans="1:6" s="3" customFormat="1" x14ac:dyDescent="0.25">
      <c r="B174" s="81">
        <v>51107</v>
      </c>
      <c r="D174" s="81">
        <v>7</v>
      </c>
      <c r="E174" s="81">
        <v>350</v>
      </c>
      <c r="F174" s="81"/>
    </row>
    <row r="175" spans="1:6" s="3" customFormat="1" x14ac:dyDescent="0.25">
      <c r="A175" s="81">
        <v>119</v>
      </c>
      <c r="B175" s="81" t="s">
        <v>4039</v>
      </c>
      <c r="C175" s="81"/>
      <c r="D175" s="81">
        <v>7</v>
      </c>
      <c r="E175" s="81">
        <v>2735</v>
      </c>
      <c r="F175" s="81"/>
    </row>
    <row r="176" spans="1:6" s="3" customFormat="1" x14ac:dyDescent="0.25">
      <c r="A176" s="81">
        <v>137</v>
      </c>
      <c r="B176" s="81" t="s">
        <v>4087</v>
      </c>
      <c r="C176" s="81"/>
      <c r="D176" s="81">
        <v>7</v>
      </c>
      <c r="E176" s="81" t="s">
        <v>4116</v>
      </c>
      <c r="F176" s="81" t="s">
        <v>4117</v>
      </c>
    </row>
    <row r="177" spans="1:6" s="3" customFormat="1" x14ac:dyDescent="0.25">
      <c r="A177" s="81">
        <v>163</v>
      </c>
      <c r="B177" s="81" t="s">
        <v>4049</v>
      </c>
      <c r="C177" s="81"/>
      <c r="D177" s="81">
        <v>7</v>
      </c>
      <c r="E177" s="81">
        <v>1710</v>
      </c>
      <c r="F177" s="81"/>
    </row>
    <row r="178" spans="1:6" s="3" customFormat="1" x14ac:dyDescent="0.25">
      <c r="A178" s="81">
        <v>170</v>
      </c>
      <c r="B178" s="81" t="s">
        <v>4058</v>
      </c>
      <c r="C178" s="81"/>
      <c r="D178" s="81">
        <v>7</v>
      </c>
      <c r="E178" s="81">
        <v>1139</v>
      </c>
      <c r="F178" s="81"/>
    </row>
    <row r="179" spans="1:6" s="3" customFormat="1" x14ac:dyDescent="0.25">
      <c r="B179" s="81" t="s">
        <v>4386</v>
      </c>
      <c r="D179" s="81">
        <v>7</v>
      </c>
      <c r="E179" s="81">
        <v>1533</v>
      </c>
      <c r="F179" s="81"/>
    </row>
    <row r="180" spans="1:6" s="3" customFormat="1" x14ac:dyDescent="0.25">
      <c r="A180" s="81">
        <v>78</v>
      </c>
      <c r="B180" s="81" t="s">
        <v>4042</v>
      </c>
      <c r="C180" s="81"/>
      <c r="D180" s="81">
        <v>7</v>
      </c>
      <c r="E180" s="81">
        <v>1320</v>
      </c>
      <c r="F180" s="81"/>
    </row>
    <row r="181" spans="1:6" s="3" customFormat="1" x14ac:dyDescent="0.25">
      <c r="A181" s="81">
        <v>113</v>
      </c>
      <c r="B181" s="81" t="s">
        <v>4173</v>
      </c>
      <c r="C181" s="81"/>
      <c r="D181" s="81">
        <v>7</v>
      </c>
      <c r="E181" s="81">
        <v>1503</v>
      </c>
      <c r="F181" s="81"/>
    </row>
    <row r="182" spans="1:6" x14ac:dyDescent="0.25">
      <c r="A182" s="81">
        <v>226</v>
      </c>
      <c r="B182" s="81" t="s">
        <v>4210</v>
      </c>
      <c r="C182" s="81"/>
      <c r="D182" s="81">
        <v>7</v>
      </c>
      <c r="E182" s="81">
        <v>861</v>
      </c>
    </row>
    <row r="183" spans="1:6" x14ac:dyDescent="0.25">
      <c r="A183" s="81">
        <v>245</v>
      </c>
      <c r="B183" s="81" t="s">
        <v>4239</v>
      </c>
      <c r="C183" s="3"/>
      <c r="D183" s="81">
        <v>7</v>
      </c>
      <c r="E183" s="81">
        <v>490</v>
      </c>
    </row>
    <row r="184" spans="1:6" x14ac:dyDescent="0.25">
      <c r="A184" s="81">
        <v>255</v>
      </c>
      <c r="B184" s="81" t="s">
        <v>4273</v>
      </c>
      <c r="C184" s="3"/>
      <c r="D184" s="81">
        <v>7</v>
      </c>
      <c r="E184" s="81">
        <v>2408</v>
      </c>
    </row>
    <row r="185" spans="1:6" x14ac:dyDescent="0.25">
      <c r="A185" s="3"/>
      <c r="B185" s="81" t="s">
        <v>4313</v>
      </c>
      <c r="C185" s="3"/>
      <c r="D185" s="81">
        <v>7</v>
      </c>
      <c r="E185" s="81">
        <v>1412</v>
      </c>
    </row>
    <row r="186" spans="1:6" x14ac:dyDescent="0.25">
      <c r="A186" s="81">
        <v>68</v>
      </c>
      <c r="B186" s="81" t="s">
        <v>4090</v>
      </c>
      <c r="C186" s="81"/>
      <c r="D186" s="81">
        <v>7</v>
      </c>
      <c r="E186" s="81">
        <v>748</v>
      </c>
    </row>
    <row r="187" spans="1:6" x14ac:dyDescent="0.25">
      <c r="A187" s="3"/>
      <c r="B187" s="81" t="s">
        <v>4367</v>
      </c>
      <c r="C187" s="3"/>
      <c r="D187" s="81">
        <v>7</v>
      </c>
      <c r="E187" s="81">
        <v>3501</v>
      </c>
    </row>
    <row r="188" spans="1:6" x14ac:dyDescent="0.25">
      <c r="A188" s="81">
        <v>208</v>
      </c>
      <c r="B188" s="81" t="s">
        <v>4128</v>
      </c>
      <c r="C188" s="81">
        <v>1024</v>
      </c>
      <c r="D188" s="81">
        <v>7</v>
      </c>
      <c r="E188" s="81">
        <v>2588</v>
      </c>
    </row>
    <row r="189" spans="1:6" x14ac:dyDescent="0.25">
      <c r="A189" s="81"/>
      <c r="B189" s="81" t="s">
        <v>4505</v>
      </c>
      <c r="C189" s="81"/>
      <c r="D189" s="81">
        <v>7</v>
      </c>
      <c r="E189" s="81">
        <v>709</v>
      </c>
    </row>
    <row r="190" spans="1:6" x14ac:dyDescent="0.25">
      <c r="A190" s="3"/>
      <c r="B190" s="81" t="s">
        <v>4625</v>
      </c>
      <c r="C190" s="3"/>
      <c r="D190" s="81">
        <v>7</v>
      </c>
      <c r="E190" s="81">
        <v>1350</v>
      </c>
    </row>
    <row r="191" spans="1:6" x14ac:dyDescent="0.25">
      <c r="A191" s="81">
        <v>233</v>
      </c>
      <c r="B191" s="81" t="s">
        <v>4218</v>
      </c>
      <c r="C191" s="81"/>
      <c r="D191" s="81">
        <v>8</v>
      </c>
      <c r="E191" s="81">
        <v>1546</v>
      </c>
    </row>
    <row r="192" spans="1:6" x14ac:dyDescent="0.25">
      <c r="A192" s="3"/>
      <c r="B192" s="81" t="s">
        <v>4393</v>
      </c>
      <c r="C192" s="3"/>
      <c r="D192" s="81">
        <v>8</v>
      </c>
      <c r="E192" s="81">
        <v>1071</v>
      </c>
    </row>
    <row r="193" spans="1:6" x14ac:dyDescent="0.25">
      <c r="A193" s="81">
        <v>25</v>
      </c>
      <c r="B193" s="81" t="s">
        <v>4221</v>
      </c>
      <c r="C193" s="81"/>
      <c r="D193" s="81">
        <v>8</v>
      </c>
      <c r="E193" s="81">
        <v>594</v>
      </c>
    </row>
    <row r="194" spans="1:6" x14ac:dyDescent="0.25">
      <c r="A194" s="81">
        <v>55</v>
      </c>
      <c r="B194" s="81" t="s">
        <v>4241</v>
      </c>
      <c r="C194" s="81"/>
      <c r="D194" s="81">
        <v>8</v>
      </c>
      <c r="E194" s="81">
        <v>629</v>
      </c>
    </row>
    <row r="195" spans="1:6" x14ac:dyDescent="0.25">
      <c r="A195" s="81"/>
      <c r="B195" s="81" t="s">
        <v>4551</v>
      </c>
      <c r="C195" s="81"/>
      <c r="D195" s="81">
        <v>8</v>
      </c>
    </row>
    <row r="196" spans="1:6" s="3" customFormat="1" x14ac:dyDescent="0.25">
      <c r="A196" s="81"/>
      <c r="B196" s="81">
        <v>6207</v>
      </c>
      <c r="D196" s="81">
        <v>8</v>
      </c>
      <c r="E196" s="81">
        <v>492</v>
      </c>
      <c r="F196" s="81"/>
    </row>
    <row r="197" spans="1:6" x14ac:dyDescent="0.25">
      <c r="A197" s="81">
        <v>76</v>
      </c>
      <c r="B197" s="81" t="s">
        <v>4289</v>
      </c>
      <c r="C197" s="3"/>
      <c r="D197" s="81">
        <v>8</v>
      </c>
      <c r="E197" s="81">
        <v>1095</v>
      </c>
    </row>
    <row r="198" spans="1:6" x14ac:dyDescent="0.25">
      <c r="A198" s="81">
        <v>157</v>
      </c>
      <c r="B198" s="81" t="s">
        <v>4168</v>
      </c>
      <c r="C198" s="81"/>
      <c r="D198" s="81">
        <v>8</v>
      </c>
      <c r="E198" s="81">
        <v>2061</v>
      </c>
    </row>
    <row r="199" spans="1:6" x14ac:dyDescent="0.25">
      <c r="A199" s="81">
        <v>167</v>
      </c>
      <c r="B199" s="81" t="s">
        <v>4053</v>
      </c>
      <c r="C199" s="81"/>
      <c r="D199" s="81">
        <v>8</v>
      </c>
      <c r="E199" s="81">
        <v>1589</v>
      </c>
    </row>
    <row r="200" spans="1:6" s="3" customFormat="1" x14ac:dyDescent="0.25">
      <c r="A200" s="81">
        <v>200</v>
      </c>
      <c r="B200" s="81" t="s">
        <v>4084</v>
      </c>
      <c r="C200" s="81"/>
      <c r="D200" s="81">
        <v>8</v>
      </c>
      <c r="E200" s="81">
        <v>1977</v>
      </c>
      <c r="F200" s="81"/>
    </row>
    <row r="201" spans="1:6" s="3" customFormat="1" x14ac:dyDescent="0.25">
      <c r="B201" s="81" t="s">
        <v>4301</v>
      </c>
      <c r="D201" s="81">
        <v>8</v>
      </c>
      <c r="E201" s="81">
        <v>568</v>
      </c>
      <c r="F201" s="81"/>
    </row>
    <row r="202" spans="1:6" s="3" customFormat="1" x14ac:dyDescent="0.25">
      <c r="B202" s="81" t="s">
        <v>4488</v>
      </c>
      <c r="D202" s="81">
        <v>8</v>
      </c>
      <c r="E202" s="81"/>
      <c r="F202" s="81"/>
    </row>
    <row r="203" spans="1:6" s="3" customFormat="1" x14ac:dyDescent="0.25">
      <c r="A203" s="81">
        <v>70</v>
      </c>
      <c r="B203" s="81">
        <v>6211</v>
      </c>
      <c r="C203" s="81"/>
      <c r="D203" s="81">
        <v>8</v>
      </c>
      <c r="E203" s="81">
        <v>934</v>
      </c>
      <c r="F203" s="81"/>
    </row>
    <row r="204" spans="1:6" s="3" customFormat="1" x14ac:dyDescent="0.25">
      <c r="A204" s="81">
        <v>127</v>
      </c>
      <c r="B204" s="81">
        <v>32206</v>
      </c>
      <c r="D204" s="81">
        <v>8</v>
      </c>
      <c r="E204" s="81">
        <v>825</v>
      </c>
      <c r="F204" s="81"/>
    </row>
    <row r="205" spans="1:6" s="3" customFormat="1" x14ac:dyDescent="0.25">
      <c r="A205" s="81">
        <v>80</v>
      </c>
      <c r="B205" s="81">
        <v>6214</v>
      </c>
      <c r="C205" s="81"/>
      <c r="D205" s="81">
        <v>8</v>
      </c>
      <c r="E205" s="81">
        <v>1339</v>
      </c>
      <c r="F205" s="81"/>
    </row>
    <row r="206" spans="1:6" s="3" customFormat="1" x14ac:dyDescent="0.25">
      <c r="A206" s="81">
        <v>191</v>
      </c>
      <c r="B206" s="81" t="s">
        <v>4075</v>
      </c>
      <c r="C206" s="81"/>
      <c r="D206" s="81">
        <v>8</v>
      </c>
      <c r="E206" s="81">
        <v>685</v>
      </c>
      <c r="F206" s="81"/>
    </row>
    <row r="207" spans="1:6" s="3" customFormat="1" x14ac:dyDescent="0.25">
      <c r="A207" s="81">
        <v>50</v>
      </c>
      <c r="B207" s="81" t="s">
        <v>4250</v>
      </c>
      <c r="D207" s="81">
        <v>8</v>
      </c>
      <c r="E207" s="81">
        <v>564</v>
      </c>
      <c r="F207" s="81"/>
    </row>
    <row r="208" spans="1:6" s="3" customFormat="1" x14ac:dyDescent="0.25">
      <c r="B208" s="81">
        <v>30308</v>
      </c>
      <c r="D208" s="81">
        <v>8</v>
      </c>
      <c r="E208" s="81">
        <v>1148</v>
      </c>
      <c r="F208" s="81"/>
    </row>
    <row r="209" spans="1:6" s="3" customFormat="1" x14ac:dyDescent="0.25">
      <c r="A209" s="81">
        <v>77</v>
      </c>
      <c r="B209" s="81">
        <v>6213</v>
      </c>
      <c r="C209" s="81"/>
      <c r="D209" s="81">
        <v>8</v>
      </c>
      <c r="E209" s="81">
        <v>1243</v>
      </c>
      <c r="F209" s="81"/>
    </row>
    <row r="210" spans="1:6" s="3" customFormat="1" x14ac:dyDescent="0.25">
      <c r="A210" s="81">
        <v>133</v>
      </c>
      <c r="B210" s="81">
        <v>32212</v>
      </c>
      <c r="C210" s="81"/>
      <c r="D210" s="81">
        <v>8</v>
      </c>
      <c r="E210" s="81">
        <v>1756</v>
      </c>
      <c r="F210" s="81"/>
    </row>
    <row r="211" spans="1:6" s="3" customFormat="1" x14ac:dyDescent="0.25">
      <c r="A211" s="81">
        <v>101</v>
      </c>
      <c r="B211" s="81" t="s">
        <v>4089</v>
      </c>
      <c r="C211" s="81"/>
      <c r="D211" s="81">
        <v>8</v>
      </c>
      <c r="E211" s="81">
        <v>637</v>
      </c>
      <c r="F211" s="81"/>
    </row>
    <row r="212" spans="1:6" s="3" customFormat="1" x14ac:dyDescent="0.25">
      <c r="A212" s="81">
        <v>205</v>
      </c>
      <c r="B212" s="81">
        <v>51207</v>
      </c>
      <c r="C212" s="84"/>
      <c r="D212" s="81">
        <v>9</v>
      </c>
      <c r="E212" s="81">
        <v>542</v>
      </c>
      <c r="F212" s="81"/>
    </row>
    <row r="213" spans="1:6" x14ac:dyDescent="0.25">
      <c r="A213" s="81">
        <v>102</v>
      </c>
      <c r="B213" s="81">
        <v>6308</v>
      </c>
      <c r="C213" s="81"/>
      <c r="D213" s="81">
        <v>9</v>
      </c>
      <c r="E213" s="81">
        <v>876</v>
      </c>
    </row>
    <row r="214" spans="1:6" x14ac:dyDescent="0.25">
      <c r="A214" s="81">
        <v>66</v>
      </c>
      <c r="B214" s="81" t="s">
        <v>4147</v>
      </c>
      <c r="C214" s="81"/>
      <c r="D214" s="81">
        <v>9</v>
      </c>
      <c r="E214" s="81">
        <v>810</v>
      </c>
    </row>
    <row r="215" spans="1:6" x14ac:dyDescent="0.25">
      <c r="A215" s="81">
        <v>172</v>
      </c>
      <c r="B215" s="81" t="s">
        <v>4060</v>
      </c>
      <c r="C215" s="81">
        <v>31594</v>
      </c>
      <c r="D215" s="81">
        <v>9</v>
      </c>
      <c r="E215" s="81">
        <v>1332</v>
      </c>
    </row>
    <row r="216" spans="1:6" x14ac:dyDescent="0.25">
      <c r="A216" s="81">
        <v>182</v>
      </c>
      <c r="B216" s="81" t="s">
        <v>4067</v>
      </c>
      <c r="C216" s="81"/>
      <c r="D216" s="81">
        <v>9</v>
      </c>
      <c r="E216" s="81">
        <v>1237</v>
      </c>
    </row>
    <row r="217" spans="1:6" x14ac:dyDescent="0.25">
      <c r="A217" s="81">
        <v>98</v>
      </c>
      <c r="B217" s="81" t="s">
        <v>4275</v>
      </c>
      <c r="C217" s="3"/>
      <c r="D217" s="81">
        <v>9</v>
      </c>
      <c r="E217" s="81">
        <v>634</v>
      </c>
    </row>
    <row r="218" spans="1:6" x14ac:dyDescent="0.25">
      <c r="A218" s="81">
        <v>132</v>
      </c>
      <c r="B218" s="81">
        <v>32211</v>
      </c>
      <c r="C218" s="81"/>
      <c r="D218" s="81">
        <v>9</v>
      </c>
      <c r="E218" s="81">
        <v>917</v>
      </c>
    </row>
    <row r="219" spans="1:6" x14ac:dyDescent="0.25">
      <c r="A219" s="81">
        <v>46</v>
      </c>
      <c r="B219" s="81" t="s">
        <v>4149</v>
      </c>
      <c r="C219" s="81"/>
      <c r="D219" s="81">
        <v>9</v>
      </c>
      <c r="E219" s="81">
        <v>387</v>
      </c>
    </row>
    <row r="220" spans="1:6" x14ac:dyDescent="0.25">
      <c r="A220" s="81">
        <v>27</v>
      </c>
      <c r="B220" s="81">
        <v>6200</v>
      </c>
      <c r="C220" s="81"/>
      <c r="D220" s="81">
        <v>10</v>
      </c>
      <c r="E220" s="81">
        <v>121</v>
      </c>
    </row>
    <row r="221" spans="1:6" x14ac:dyDescent="0.25">
      <c r="A221" s="81">
        <v>107</v>
      </c>
      <c r="B221" s="81">
        <v>6309</v>
      </c>
      <c r="C221" s="81"/>
      <c r="D221" s="81">
        <v>10</v>
      </c>
      <c r="E221" s="81">
        <v>1193</v>
      </c>
    </row>
    <row r="222" spans="1:6" x14ac:dyDescent="0.25">
      <c r="A222" s="3"/>
      <c r="B222" s="81" t="s">
        <v>4353</v>
      </c>
      <c r="C222" s="3"/>
      <c r="D222" s="81">
        <v>10</v>
      </c>
      <c r="E222" s="81">
        <v>418</v>
      </c>
    </row>
    <row r="223" spans="1:6" x14ac:dyDescent="0.25">
      <c r="A223" s="81">
        <v>135</v>
      </c>
      <c r="B223" s="81">
        <v>32213</v>
      </c>
      <c r="C223" s="81"/>
      <c r="D223" s="81">
        <v>10</v>
      </c>
      <c r="E223" s="81">
        <v>2247</v>
      </c>
    </row>
    <row r="224" spans="1:6" x14ac:dyDescent="0.25">
      <c r="A224" s="81">
        <v>148</v>
      </c>
      <c r="B224" s="81">
        <v>30210</v>
      </c>
      <c r="C224" s="81"/>
      <c r="D224" s="81">
        <v>10</v>
      </c>
      <c r="E224" s="81">
        <v>1069</v>
      </c>
    </row>
    <row r="225" spans="1:6" x14ac:dyDescent="0.25">
      <c r="A225" s="81">
        <v>6</v>
      </c>
      <c r="B225" s="81" t="s">
        <v>4021</v>
      </c>
      <c r="C225" s="81"/>
      <c r="D225" s="81">
        <v>10</v>
      </c>
      <c r="E225" s="81">
        <v>762</v>
      </c>
    </row>
    <row r="226" spans="1:6" x14ac:dyDescent="0.25">
      <c r="A226" s="81">
        <v>60</v>
      </c>
      <c r="B226" s="81" t="s">
        <v>4266</v>
      </c>
      <c r="C226" s="3"/>
      <c r="D226" s="81">
        <v>10</v>
      </c>
      <c r="E226" s="81">
        <v>814</v>
      </c>
    </row>
    <row r="227" spans="1:6" x14ac:dyDescent="0.25">
      <c r="A227" s="81"/>
      <c r="B227" s="81" t="s">
        <v>4357</v>
      </c>
      <c r="C227" s="81"/>
      <c r="D227" s="81">
        <v>10</v>
      </c>
      <c r="E227" s="81">
        <v>675</v>
      </c>
    </row>
    <row r="228" spans="1:6" x14ac:dyDescent="0.25">
      <c r="A228" s="81">
        <v>71</v>
      </c>
      <c r="B228" s="81" t="s">
        <v>4026</v>
      </c>
      <c r="C228" s="81"/>
      <c r="D228" s="81">
        <v>10</v>
      </c>
      <c r="E228" s="81">
        <v>1101</v>
      </c>
    </row>
    <row r="229" spans="1:6" x14ac:dyDescent="0.25">
      <c r="A229" s="81">
        <v>72</v>
      </c>
      <c r="B229" s="81" t="s">
        <v>4027</v>
      </c>
      <c r="C229" s="81"/>
      <c r="D229" s="81">
        <v>10</v>
      </c>
      <c r="E229" s="81">
        <v>1037</v>
      </c>
    </row>
    <row r="230" spans="1:6" x14ac:dyDescent="0.25">
      <c r="A230" s="81">
        <v>150</v>
      </c>
      <c r="B230" s="81" t="s">
        <v>4045</v>
      </c>
      <c r="C230" s="81"/>
      <c r="D230" s="81">
        <v>10</v>
      </c>
      <c r="E230" s="81">
        <v>1749</v>
      </c>
    </row>
    <row r="231" spans="1:6" x14ac:dyDescent="0.25">
      <c r="A231" s="81">
        <v>181</v>
      </c>
      <c r="B231" s="81" t="s">
        <v>4228</v>
      </c>
      <c r="C231" s="84"/>
      <c r="D231" s="81">
        <v>10</v>
      </c>
      <c r="E231" s="81">
        <v>1275</v>
      </c>
    </row>
    <row r="232" spans="1:6" x14ac:dyDescent="0.25">
      <c r="A232" s="81">
        <v>188</v>
      </c>
      <c r="B232" s="81" t="s">
        <v>4181</v>
      </c>
      <c r="C232" s="81"/>
      <c r="D232" s="81">
        <v>10</v>
      </c>
      <c r="E232" s="81">
        <v>1122</v>
      </c>
    </row>
    <row r="233" spans="1:6" x14ac:dyDescent="0.25">
      <c r="A233" s="81">
        <v>204</v>
      </c>
      <c r="B233" s="81" t="s">
        <v>4112</v>
      </c>
      <c r="C233" s="81"/>
      <c r="D233" s="81">
        <v>10</v>
      </c>
      <c r="E233" s="81">
        <v>2499</v>
      </c>
    </row>
    <row r="234" spans="1:6" x14ac:dyDescent="0.25">
      <c r="A234" s="81">
        <v>217</v>
      </c>
      <c r="B234" s="81">
        <v>33205</v>
      </c>
      <c r="C234" s="81"/>
      <c r="D234" s="81">
        <v>10</v>
      </c>
      <c r="E234" s="81">
        <v>1098</v>
      </c>
    </row>
    <row r="235" spans="1:6" s="3" customFormat="1" x14ac:dyDescent="0.25">
      <c r="A235" s="81"/>
      <c r="B235" s="81" t="s">
        <v>4509</v>
      </c>
      <c r="C235" s="81"/>
      <c r="D235" s="81">
        <v>10</v>
      </c>
      <c r="E235" s="81">
        <v>630</v>
      </c>
      <c r="F235" s="81"/>
    </row>
    <row r="236" spans="1:6" x14ac:dyDescent="0.25">
      <c r="A236" s="81">
        <v>248</v>
      </c>
      <c r="B236" s="81">
        <v>51209</v>
      </c>
      <c r="C236" s="3"/>
      <c r="D236" s="81">
        <v>10</v>
      </c>
      <c r="E236" s="81">
        <v>967</v>
      </c>
    </row>
    <row r="237" spans="1:6" x14ac:dyDescent="0.25">
      <c r="A237" s="81"/>
      <c r="B237" s="81" t="s">
        <v>4260</v>
      </c>
      <c r="C237" s="3"/>
      <c r="D237" s="81">
        <v>10</v>
      </c>
      <c r="E237" s="81">
        <v>129</v>
      </c>
    </row>
    <row r="238" spans="1:6" x14ac:dyDescent="0.25">
      <c r="A238" s="3"/>
      <c r="B238" s="81">
        <v>30306</v>
      </c>
      <c r="C238" s="3"/>
      <c r="D238" s="81">
        <v>10</v>
      </c>
      <c r="E238" s="81">
        <v>757</v>
      </c>
    </row>
    <row r="239" spans="1:6" x14ac:dyDescent="0.25">
      <c r="A239" s="3"/>
      <c r="B239" s="81" t="s">
        <v>4354</v>
      </c>
      <c r="C239" s="3"/>
      <c r="D239" s="81">
        <v>10</v>
      </c>
      <c r="E239" s="81">
        <v>440</v>
      </c>
    </row>
    <row r="240" spans="1:6" x14ac:dyDescent="0.25">
      <c r="A240" s="3"/>
      <c r="B240" s="81">
        <v>32205</v>
      </c>
      <c r="C240" s="3"/>
      <c r="D240" s="81">
        <v>10</v>
      </c>
      <c r="E240" s="81">
        <v>691</v>
      </c>
    </row>
    <row r="241" spans="1:6" s="3" customFormat="1" x14ac:dyDescent="0.25">
      <c r="B241" s="81" t="s">
        <v>4438</v>
      </c>
      <c r="D241" s="81">
        <v>10</v>
      </c>
      <c r="E241" s="81">
        <v>1208</v>
      </c>
      <c r="F241" s="81"/>
    </row>
    <row r="242" spans="1:6" x14ac:dyDescent="0.25">
      <c r="A242" s="3"/>
      <c r="B242" s="81" t="s">
        <v>4484</v>
      </c>
      <c r="C242" s="3"/>
      <c r="D242" s="81">
        <v>10</v>
      </c>
      <c r="E242" s="81">
        <v>1502</v>
      </c>
    </row>
    <row r="243" spans="1:6" x14ac:dyDescent="0.25">
      <c r="A243" s="3"/>
      <c r="B243" s="81" t="s">
        <v>4485</v>
      </c>
      <c r="C243" s="3"/>
      <c r="D243" s="81">
        <v>10</v>
      </c>
      <c r="E243" s="81">
        <v>712</v>
      </c>
    </row>
    <row r="244" spans="1:6" x14ac:dyDescent="0.25">
      <c r="A244" s="3"/>
      <c r="B244" s="81" t="s">
        <v>4487</v>
      </c>
      <c r="C244" s="3"/>
      <c r="D244" s="81">
        <v>10</v>
      </c>
      <c r="E244" s="81">
        <v>1130</v>
      </c>
    </row>
    <row r="245" spans="1:6" x14ac:dyDescent="0.25">
      <c r="A245" s="81">
        <v>184</v>
      </c>
      <c r="B245" s="81" t="s">
        <v>4174</v>
      </c>
      <c r="C245" s="81"/>
      <c r="D245" s="81">
        <v>8</v>
      </c>
      <c r="E245" s="81">
        <v>1646</v>
      </c>
    </row>
    <row r="246" spans="1:6" x14ac:dyDescent="0.25">
      <c r="A246" s="3"/>
      <c r="B246" s="81" t="s">
        <v>4416</v>
      </c>
      <c r="C246" s="3"/>
      <c r="D246" s="81">
        <v>10</v>
      </c>
      <c r="E246" s="81">
        <v>932</v>
      </c>
    </row>
    <row r="247" spans="1:6" x14ac:dyDescent="0.25">
      <c r="A247" s="81">
        <v>79</v>
      </c>
      <c r="B247" s="81" t="s">
        <v>4043</v>
      </c>
      <c r="C247" s="81"/>
      <c r="D247" s="81">
        <v>10</v>
      </c>
      <c r="E247" s="81">
        <v>1370</v>
      </c>
    </row>
    <row r="248" spans="1:6" x14ac:dyDescent="0.25">
      <c r="A248" s="81"/>
      <c r="B248" s="81" t="s">
        <v>4477</v>
      </c>
      <c r="C248" s="81"/>
      <c r="D248" s="81">
        <v>10</v>
      </c>
      <c r="E248" s="81">
        <v>307</v>
      </c>
      <c r="F248" s="3"/>
    </row>
    <row r="249" spans="1:6" x14ac:dyDescent="0.25">
      <c r="A249" s="81"/>
      <c r="B249" s="81">
        <v>6307</v>
      </c>
      <c r="C249" s="3"/>
      <c r="D249" s="81">
        <v>7</v>
      </c>
      <c r="E249" s="81">
        <v>583</v>
      </c>
    </row>
    <row r="250" spans="1:6" x14ac:dyDescent="0.25">
      <c r="A250" s="3"/>
      <c r="B250" s="81" t="s">
        <v>4594</v>
      </c>
      <c r="C250" s="3"/>
      <c r="D250" s="81">
        <v>10</v>
      </c>
      <c r="E250" s="81">
        <v>568</v>
      </c>
    </row>
    <row r="251" spans="1:6" x14ac:dyDescent="0.25">
      <c r="A251" s="3"/>
      <c r="B251" s="81" t="s">
        <v>4292</v>
      </c>
      <c r="C251" s="3"/>
      <c r="D251" s="81">
        <v>8</v>
      </c>
      <c r="E251" s="81">
        <v>2470</v>
      </c>
    </row>
    <row r="252" spans="1:6" x14ac:dyDescent="0.25">
      <c r="A252" s="81"/>
      <c r="B252" s="81" t="s">
        <v>4454</v>
      </c>
      <c r="C252" s="81"/>
      <c r="D252" s="81">
        <v>10</v>
      </c>
      <c r="E252" s="81">
        <v>157</v>
      </c>
    </row>
    <row r="253" spans="1:6" x14ac:dyDescent="0.25">
      <c r="A253" s="3"/>
      <c r="B253" s="81">
        <v>6302</v>
      </c>
      <c r="C253" s="3"/>
      <c r="D253" s="81">
        <v>10</v>
      </c>
      <c r="E253" s="81">
        <v>211</v>
      </c>
    </row>
    <row r="254" spans="1:6" s="3" customFormat="1" x14ac:dyDescent="0.25">
      <c r="A254" s="81">
        <v>104</v>
      </c>
      <c r="B254" s="81" t="s">
        <v>4033</v>
      </c>
      <c r="C254" s="81"/>
      <c r="D254" s="81">
        <v>11</v>
      </c>
      <c r="E254" s="81">
        <v>1002</v>
      </c>
      <c r="F254" s="81"/>
    </row>
    <row r="255" spans="1:6" s="3" customFormat="1" x14ac:dyDescent="0.25">
      <c r="B255" s="81">
        <v>30302</v>
      </c>
      <c r="D255" s="81">
        <v>11</v>
      </c>
      <c r="E255" s="81">
        <v>517</v>
      </c>
      <c r="F255" s="81"/>
    </row>
    <row r="256" spans="1:6" x14ac:dyDescent="0.25">
      <c r="A256" s="81">
        <v>178</v>
      </c>
      <c r="B256" s="81" t="s">
        <v>4064</v>
      </c>
      <c r="C256" s="81"/>
      <c r="D256" s="81">
        <v>11</v>
      </c>
      <c r="E256" s="81">
        <v>1817</v>
      </c>
    </row>
    <row r="257" spans="1:6" x14ac:dyDescent="0.25">
      <c r="A257" s="81">
        <v>187</v>
      </c>
      <c r="B257" s="81" t="s">
        <v>4062</v>
      </c>
      <c r="C257" s="81"/>
      <c r="D257" s="81">
        <v>11</v>
      </c>
      <c r="E257" s="81">
        <v>2484</v>
      </c>
    </row>
    <row r="258" spans="1:6" x14ac:dyDescent="0.25">
      <c r="A258" s="81">
        <v>203</v>
      </c>
      <c r="B258" s="81" t="s">
        <v>4111</v>
      </c>
      <c r="C258" s="81"/>
      <c r="D258" s="81">
        <v>11</v>
      </c>
      <c r="E258" s="81">
        <v>1079</v>
      </c>
    </row>
    <row r="259" spans="1:6" x14ac:dyDescent="0.25">
      <c r="A259" s="3"/>
      <c r="B259" s="81" t="s">
        <v>4550</v>
      </c>
      <c r="C259" s="3"/>
      <c r="D259" s="81">
        <v>11</v>
      </c>
      <c r="E259" s="81">
        <v>1407</v>
      </c>
    </row>
    <row r="260" spans="1:6" x14ac:dyDescent="0.25">
      <c r="A260" s="81">
        <v>121</v>
      </c>
      <c r="B260" s="81">
        <v>6313</v>
      </c>
      <c r="C260" s="81"/>
      <c r="D260" s="81">
        <v>11</v>
      </c>
      <c r="E260" s="81">
        <v>2667</v>
      </c>
    </row>
    <row r="261" spans="1:6" x14ac:dyDescent="0.25">
      <c r="A261" s="81">
        <v>206</v>
      </c>
      <c r="B261" s="81">
        <v>32309</v>
      </c>
      <c r="C261" s="81"/>
      <c r="D261" s="81">
        <v>11</v>
      </c>
      <c r="E261" s="81">
        <v>1678</v>
      </c>
    </row>
    <row r="262" spans="1:6" x14ac:dyDescent="0.25">
      <c r="A262" s="81">
        <v>216</v>
      </c>
      <c r="B262" s="81" t="s">
        <v>4162</v>
      </c>
      <c r="C262" s="81"/>
      <c r="D262" s="81">
        <v>11</v>
      </c>
      <c r="E262" s="81">
        <v>1287</v>
      </c>
    </row>
    <row r="263" spans="1:6" x14ac:dyDescent="0.25">
      <c r="A263" s="81"/>
      <c r="B263" s="81">
        <v>6003</v>
      </c>
      <c r="C263" s="3"/>
      <c r="D263" s="81">
        <v>12</v>
      </c>
      <c r="E263" s="81">
        <v>213</v>
      </c>
    </row>
    <row r="264" spans="1:6" x14ac:dyDescent="0.25">
      <c r="A264" s="81">
        <v>109</v>
      </c>
      <c r="B264" s="81" t="s">
        <v>4035</v>
      </c>
      <c r="C264" s="81"/>
      <c r="D264" s="81">
        <v>12</v>
      </c>
      <c r="E264" s="81">
        <v>1381</v>
      </c>
    </row>
    <row r="265" spans="1:6" x14ac:dyDescent="0.25">
      <c r="A265" s="81">
        <v>120</v>
      </c>
      <c r="B265" s="81" t="s">
        <v>4122</v>
      </c>
      <c r="C265" s="81"/>
      <c r="D265" s="81">
        <v>12</v>
      </c>
      <c r="E265" s="81">
        <v>2644</v>
      </c>
    </row>
    <row r="266" spans="1:6" x14ac:dyDescent="0.25">
      <c r="A266" s="81">
        <v>153</v>
      </c>
      <c r="B266" s="81">
        <v>30215</v>
      </c>
      <c r="C266" s="81"/>
      <c r="D266" s="81">
        <v>12</v>
      </c>
      <c r="E266" s="81">
        <v>2213</v>
      </c>
    </row>
    <row r="267" spans="1:6" x14ac:dyDescent="0.25">
      <c r="A267" s="81">
        <v>173</v>
      </c>
      <c r="B267" s="81" t="s">
        <v>4061</v>
      </c>
      <c r="C267" s="81"/>
      <c r="D267" s="81">
        <v>12</v>
      </c>
      <c r="E267" s="81">
        <v>3720</v>
      </c>
    </row>
    <row r="268" spans="1:6" x14ac:dyDescent="0.25">
      <c r="A268" s="3"/>
      <c r="B268" s="81">
        <v>33019</v>
      </c>
      <c r="C268" s="3"/>
      <c r="D268" s="81">
        <v>12</v>
      </c>
      <c r="E268" s="81">
        <v>3235</v>
      </c>
    </row>
    <row r="269" spans="1:6" x14ac:dyDescent="0.25">
      <c r="A269" s="81">
        <v>256</v>
      </c>
      <c r="B269" s="81" t="s">
        <v>4274</v>
      </c>
      <c r="C269" s="3"/>
      <c r="D269" s="81">
        <v>12</v>
      </c>
      <c r="E269" s="81">
        <v>775</v>
      </c>
    </row>
    <row r="270" spans="1:6" x14ac:dyDescent="0.25">
      <c r="A270" s="81">
        <v>134</v>
      </c>
      <c r="B270" s="81" t="s">
        <v>4044</v>
      </c>
      <c r="C270" s="81"/>
      <c r="D270" s="81">
        <v>12</v>
      </c>
      <c r="E270" s="81">
        <v>1756</v>
      </c>
    </row>
    <row r="271" spans="1:6" x14ac:dyDescent="0.25">
      <c r="A271" s="81">
        <v>49</v>
      </c>
      <c r="B271" s="81" t="s">
        <v>4169</v>
      </c>
      <c r="C271" s="81"/>
      <c r="D271" s="81">
        <v>12</v>
      </c>
      <c r="E271" s="81">
        <v>505</v>
      </c>
    </row>
    <row r="272" spans="1:6" s="3" customFormat="1" x14ac:dyDescent="0.25">
      <c r="A272" s="81">
        <v>115</v>
      </c>
      <c r="B272" s="81" t="s">
        <v>4036</v>
      </c>
      <c r="C272" s="81"/>
      <c r="D272" s="81">
        <v>13</v>
      </c>
      <c r="E272" s="81">
        <v>2151</v>
      </c>
      <c r="F272" s="81"/>
    </row>
    <row r="273" spans="1:6" s="3" customFormat="1" x14ac:dyDescent="0.25">
      <c r="A273" s="81"/>
      <c r="B273" s="81" t="s">
        <v>4510</v>
      </c>
      <c r="C273" s="81"/>
      <c r="D273" s="81">
        <v>13</v>
      </c>
      <c r="E273" s="81">
        <v>1450</v>
      </c>
      <c r="F273" s="81"/>
    </row>
    <row r="274" spans="1:6" x14ac:dyDescent="0.25">
      <c r="A274" s="3"/>
      <c r="B274" s="81" t="s">
        <v>4558</v>
      </c>
      <c r="C274" s="3"/>
      <c r="D274" s="81">
        <v>13</v>
      </c>
      <c r="E274" s="81">
        <v>938</v>
      </c>
    </row>
    <row r="275" spans="1:6" s="3" customFormat="1" x14ac:dyDescent="0.25">
      <c r="A275" s="81">
        <v>146</v>
      </c>
      <c r="B275" s="81">
        <v>30208</v>
      </c>
      <c r="C275" s="81"/>
      <c r="D275" s="81">
        <v>13</v>
      </c>
      <c r="E275" s="81">
        <v>913</v>
      </c>
      <c r="F275" s="81"/>
    </row>
    <row r="276" spans="1:6" s="3" customFormat="1" x14ac:dyDescent="0.25">
      <c r="A276" s="81">
        <v>3</v>
      </c>
      <c r="B276" s="81" t="s">
        <v>4019</v>
      </c>
      <c r="C276" s="81">
        <v>1265</v>
      </c>
      <c r="D276" s="81">
        <v>13</v>
      </c>
      <c r="E276" s="81">
        <v>2646</v>
      </c>
      <c r="F276" s="81"/>
    </row>
    <row r="277" spans="1:6" x14ac:dyDescent="0.25">
      <c r="A277" s="81">
        <v>176</v>
      </c>
      <c r="B277" s="81" t="s">
        <v>4069</v>
      </c>
      <c r="C277" s="81"/>
      <c r="D277" s="81">
        <v>13</v>
      </c>
      <c r="E277" s="81">
        <v>1009</v>
      </c>
    </row>
    <row r="278" spans="1:6" x14ac:dyDescent="0.25">
      <c r="A278" s="81">
        <v>225</v>
      </c>
      <c r="B278" s="81" t="s">
        <v>4209</v>
      </c>
      <c r="C278" s="81"/>
      <c r="D278" s="81">
        <v>13</v>
      </c>
      <c r="E278" s="81">
        <v>700</v>
      </c>
    </row>
    <row r="279" spans="1:6" x14ac:dyDescent="0.25">
      <c r="A279" s="81"/>
      <c r="B279" s="81">
        <v>32208</v>
      </c>
      <c r="C279" s="3"/>
      <c r="D279" s="81">
        <v>13</v>
      </c>
      <c r="E279" s="81">
        <v>972</v>
      </c>
    </row>
    <row r="280" spans="1:6" x14ac:dyDescent="0.25">
      <c r="A280" s="81">
        <v>47</v>
      </c>
      <c r="B280" s="81" t="s">
        <v>4161</v>
      </c>
      <c r="C280" s="81"/>
      <c r="D280" s="81">
        <v>8</v>
      </c>
    </row>
    <row r="281" spans="1:6" x14ac:dyDescent="0.25">
      <c r="A281" s="81">
        <v>154</v>
      </c>
      <c r="B281" s="81">
        <v>30305</v>
      </c>
      <c r="C281" s="81"/>
      <c r="D281" s="81">
        <v>13</v>
      </c>
      <c r="E281" s="81">
        <v>600</v>
      </c>
    </row>
    <row r="282" spans="1:6" x14ac:dyDescent="0.25">
      <c r="A282" s="81">
        <v>145</v>
      </c>
      <c r="B282" s="81">
        <v>30207</v>
      </c>
      <c r="C282" s="81"/>
      <c r="D282" s="81">
        <v>13</v>
      </c>
      <c r="E282" s="81">
        <v>667</v>
      </c>
    </row>
    <row r="283" spans="1:6" x14ac:dyDescent="0.25">
      <c r="A283" s="81">
        <v>7</v>
      </c>
      <c r="B283" s="81" t="s">
        <v>4022</v>
      </c>
      <c r="C283" s="81"/>
      <c r="D283" s="81">
        <v>14</v>
      </c>
      <c r="E283" s="81" t="s">
        <v>4098</v>
      </c>
      <c r="F283" s="81" t="s">
        <v>4099</v>
      </c>
    </row>
    <row r="284" spans="1:6" x14ac:dyDescent="0.25">
      <c r="A284" s="81"/>
      <c r="B284" s="81" t="s">
        <v>4452</v>
      </c>
      <c r="C284" s="3"/>
      <c r="D284" s="81">
        <v>14</v>
      </c>
      <c r="E284" s="81">
        <v>278</v>
      </c>
    </row>
    <row r="285" spans="1:6" x14ac:dyDescent="0.25">
      <c r="A285" s="81">
        <v>141</v>
      </c>
      <c r="B285" s="81">
        <v>30204</v>
      </c>
      <c r="C285" s="81"/>
      <c r="D285" s="81">
        <v>14</v>
      </c>
      <c r="E285" s="81">
        <v>434</v>
      </c>
      <c r="F285" s="81" t="s">
        <v>4115</v>
      </c>
    </row>
    <row r="286" spans="1:6" x14ac:dyDescent="0.25">
      <c r="A286" s="81"/>
      <c r="B286" s="81" t="s">
        <v>4493</v>
      </c>
      <c r="C286" s="3"/>
      <c r="D286" s="81">
        <v>14</v>
      </c>
      <c r="E286" s="81">
        <v>486</v>
      </c>
    </row>
    <row r="287" spans="1:6" x14ac:dyDescent="0.25">
      <c r="A287" s="81">
        <v>88</v>
      </c>
      <c r="B287" s="81" t="s">
        <v>4306</v>
      </c>
      <c r="C287" s="84"/>
      <c r="D287" s="81">
        <v>14</v>
      </c>
      <c r="E287" s="81">
        <v>309</v>
      </c>
    </row>
    <row r="288" spans="1:6" x14ac:dyDescent="0.25">
      <c r="A288" s="81">
        <v>17</v>
      </c>
      <c r="B288" s="81" t="s">
        <v>4141</v>
      </c>
      <c r="C288" s="81"/>
      <c r="D288" s="81">
        <v>14</v>
      </c>
      <c r="E288" s="81">
        <v>247</v>
      </c>
    </row>
    <row r="289" spans="1:5" x14ac:dyDescent="0.25">
      <c r="A289" s="81">
        <v>42</v>
      </c>
      <c r="B289" s="81" t="s">
        <v>4143</v>
      </c>
      <c r="C289" s="81"/>
      <c r="D289" s="81">
        <v>14</v>
      </c>
      <c r="E289" s="81">
        <v>263</v>
      </c>
    </row>
    <row r="290" spans="1:5" x14ac:dyDescent="0.25">
      <c r="A290" s="81">
        <v>59</v>
      </c>
      <c r="B290" s="81" t="s">
        <v>4265</v>
      </c>
      <c r="C290" s="3"/>
      <c r="D290" s="81">
        <v>15</v>
      </c>
      <c r="E290" s="81">
        <v>706</v>
      </c>
    </row>
    <row r="291" spans="1:5" x14ac:dyDescent="0.25">
      <c r="A291" s="81"/>
      <c r="B291" s="81" t="s">
        <v>4392</v>
      </c>
      <c r="C291" s="81"/>
      <c r="D291" s="81">
        <v>15</v>
      </c>
      <c r="E291" s="81">
        <v>194</v>
      </c>
    </row>
    <row r="292" spans="1:5" x14ac:dyDescent="0.25">
      <c r="A292" s="81">
        <v>215</v>
      </c>
      <c r="B292" s="81">
        <v>6904</v>
      </c>
      <c r="C292" s="81"/>
      <c r="D292" s="81">
        <v>15</v>
      </c>
      <c r="E292" s="81">
        <v>288</v>
      </c>
    </row>
    <row r="293" spans="1:5" x14ac:dyDescent="0.25">
      <c r="A293" s="81">
        <v>241</v>
      </c>
      <c r="B293" s="81" t="s">
        <v>4234</v>
      </c>
      <c r="C293" s="3"/>
      <c r="D293" s="81">
        <v>15</v>
      </c>
      <c r="E293" s="81">
        <v>264</v>
      </c>
    </row>
    <row r="294" spans="1:5" x14ac:dyDescent="0.25">
      <c r="A294" s="81">
        <v>91</v>
      </c>
      <c r="B294" s="81">
        <v>6305</v>
      </c>
      <c r="C294" s="81"/>
      <c r="D294" s="81">
        <v>15</v>
      </c>
      <c r="E294" s="81">
        <v>344</v>
      </c>
    </row>
    <row r="295" spans="1:5" x14ac:dyDescent="0.25">
      <c r="A295" s="81">
        <v>24</v>
      </c>
      <c r="B295" s="81" t="s">
        <v>4249</v>
      </c>
      <c r="C295" s="3"/>
      <c r="D295" s="81">
        <v>11</v>
      </c>
      <c r="E295" s="81">
        <v>602</v>
      </c>
    </row>
    <row r="296" spans="1:5" x14ac:dyDescent="0.25">
      <c r="A296" s="81">
        <v>9</v>
      </c>
      <c r="B296" s="81" t="s">
        <v>4024</v>
      </c>
      <c r="C296" s="81"/>
      <c r="D296" s="81">
        <v>16</v>
      </c>
      <c r="E296" s="81">
        <v>974</v>
      </c>
    </row>
    <row r="297" spans="1:5" x14ac:dyDescent="0.25">
      <c r="A297" s="81"/>
      <c r="B297" s="81" t="s">
        <v>4293</v>
      </c>
      <c r="C297" s="3"/>
      <c r="D297" s="81">
        <v>16</v>
      </c>
      <c r="E297" s="81">
        <v>430</v>
      </c>
    </row>
    <row r="298" spans="1:5" x14ac:dyDescent="0.25">
      <c r="A298" s="81">
        <v>41</v>
      </c>
      <c r="B298" s="81" t="s">
        <v>4271</v>
      </c>
      <c r="C298" s="81"/>
      <c r="D298" s="81">
        <v>16</v>
      </c>
      <c r="E298" s="81">
        <v>252</v>
      </c>
    </row>
    <row r="299" spans="1:5" x14ac:dyDescent="0.25">
      <c r="A299" s="81">
        <v>243</v>
      </c>
      <c r="B299" s="81" t="s">
        <v>4237</v>
      </c>
      <c r="C299" s="3"/>
      <c r="D299" s="81">
        <v>16</v>
      </c>
      <c r="E299" s="81" t="s">
        <v>4622</v>
      </c>
    </row>
    <row r="300" spans="1:5" x14ac:dyDescent="0.25">
      <c r="A300" s="81">
        <v>61</v>
      </c>
      <c r="B300" s="81">
        <v>6209</v>
      </c>
      <c r="C300" s="81"/>
      <c r="D300" s="81">
        <v>16</v>
      </c>
      <c r="E300" s="81">
        <v>675</v>
      </c>
    </row>
    <row r="301" spans="1:5" x14ac:dyDescent="0.25">
      <c r="A301" s="81">
        <v>105</v>
      </c>
      <c r="B301" s="81" t="s">
        <v>4054</v>
      </c>
      <c r="C301" s="81"/>
      <c r="D301" s="81">
        <v>17</v>
      </c>
      <c r="E301" s="81">
        <v>1187</v>
      </c>
    </row>
    <row r="302" spans="1:5" x14ac:dyDescent="0.25">
      <c r="A302" s="81">
        <v>171</v>
      </c>
      <c r="B302" s="81" t="s">
        <v>4059</v>
      </c>
      <c r="C302" s="81"/>
      <c r="D302" s="81">
        <v>17</v>
      </c>
      <c r="E302" s="81">
        <v>1276</v>
      </c>
    </row>
    <row r="303" spans="1:5" x14ac:dyDescent="0.25">
      <c r="A303" s="81">
        <v>214</v>
      </c>
      <c r="B303" s="81" t="s">
        <v>4144</v>
      </c>
      <c r="C303" s="81"/>
      <c r="D303" s="81">
        <v>17</v>
      </c>
      <c r="E303" s="81">
        <v>902</v>
      </c>
    </row>
    <row r="304" spans="1:5" x14ac:dyDescent="0.25">
      <c r="A304" s="81">
        <v>99</v>
      </c>
      <c r="B304" s="81" t="s">
        <v>4055</v>
      </c>
      <c r="C304" s="81"/>
      <c r="D304" s="81">
        <v>17</v>
      </c>
      <c r="E304" s="81">
        <v>953</v>
      </c>
    </row>
    <row r="305" spans="1:5" x14ac:dyDescent="0.25">
      <c r="A305" s="81">
        <v>19</v>
      </c>
      <c r="B305" s="81" t="s">
        <v>4227</v>
      </c>
      <c r="C305" s="84"/>
      <c r="D305" s="81">
        <v>17</v>
      </c>
      <c r="E305" s="81">
        <v>210</v>
      </c>
    </row>
    <row r="306" spans="1:5" x14ac:dyDescent="0.25">
      <c r="A306" s="81">
        <v>10</v>
      </c>
      <c r="B306" s="81" t="s">
        <v>4126</v>
      </c>
      <c r="C306" s="81"/>
      <c r="D306" s="81">
        <v>18</v>
      </c>
      <c r="E306" s="81">
        <v>150</v>
      </c>
    </row>
    <row r="307" spans="1:5" x14ac:dyDescent="0.25">
      <c r="A307" s="81">
        <v>69</v>
      </c>
      <c r="B307" s="81" t="s">
        <v>4256</v>
      </c>
      <c r="C307" s="3"/>
      <c r="D307" s="81">
        <v>18</v>
      </c>
      <c r="E307" s="81">
        <v>823</v>
      </c>
    </row>
    <row r="308" spans="1:5" x14ac:dyDescent="0.25">
      <c r="A308" s="81">
        <v>106</v>
      </c>
      <c r="B308" s="81" t="s">
        <v>4270</v>
      </c>
      <c r="C308" s="81"/>
      <c r="D308" s="81">
        <v>18</v>
      </c>
      <c r="E308" s="81">
        <v>1057</v>
      </c>
    </row>
    <row r="309" spans="1:5" x14ac:dyDescent="0.25">
      <c r="A309" s="81">
        <v>227</v>
      </c>
      <c r="B309" s="81" t="s">
        <v>4211</v>
      </c>
      <c r="C309" s="81"/>
      <c r="D309" s="81">
        <v>18</v>
      </c>
      <c r="E309" s="81">
        <v>854</v>
      </c>
    </row>
    <row r="310" spans="1:5" x14ac:dyDescent="0.25">
      <c r="A310" s="81">
        <v>110</v>
      </c>
      <c r="B310" s="81" t="s">
        <v>4245</v>
      </c>
      <c r="C310" s="3"/>
      <c r="D310" s="81">
        <v>18</v>
      </c>
      <c r="E310" s="81">
        <v>1244</v>
      </c>
    </row>
    <row r="311" spans="1:5" x14ac:dyDescent="0.25">
      <c r="A311" s="81">
        <v>174</v>
      </c>
      <c r="B311" s="81" t="s">
        <v>4179</v>
      </c>
      <c r="C311" s="81"/>
      <c r="D311" s="81">
        <v>16</v>
      </c>
      <c r="E311" s="81">
        <v>978</v>
      </c>
    </row>
    <row r="312" spans="1:5" x14ac:dyDescent="0.25">
      <c r="A312" s="81">
        <v>103</v>
      </c>
      <c r="B312" s="81" t="s">
        <v>4032</v>
      </c>
      <c r="C312" s="81"/>
      <c r="D312" s="81">
        <v>18</v>
      </c>
      <c r="E312" s="81">
        <v>966</v>
      </c>
    </row>
    <row r="313" spans="1:5" x14ac:dyDescent="0.25">
      <c r="A313" s="81">
        <v>31</v>
      </c>
      <c r="B313" s="81" t="s">
        <v>4220</v>
      </c>
      <c r="C313" s="81"/>
      <c r="D313" s="81">
        <v>17</v>
      </c>
      <c r="E313" s="81">
        <v>182</v>
      </c>
    </row>
    <row r="314" spans="1:5" x14ac:dyDescent="0.25">
      <c r="A314" s="81">
        <v>128</v>
      </c>
      <c r="B314" s="81">
        <v>32207</v>
      </c>
      <c r="C314" s="81"/>
      <c r="D314" s="81">
        <v>19</v>
      </c>
      <c r="E314" s="81">
        <v>881</v>
      </c>
    </row>
    <row r="315" spans="1:5" x14ac:dyDescent="0.25">
      <c r="A315" s="81">
        <v>168</v>
      </c>
      <c r="B315" s="81" t="s">
        <v>4056</v>
      </c>
      <c r="C315" s="81"/>
      <c r="D315" s="81">
        <v>19</v>
      </c>
      <c r="E315" s="81" t="s">
        <v>4526</v>
      </c>
    </row>
    <row r="316" spans="1:5" x14ac:dyDescent="0.25">
      <c r="A316" s="81">
        <v>96</v>
      </c>
      <c r="B316" s="81" t="s">
        <v>4096</v>
      </c>
      <c r="C316" s="81"/>
      <c r="D316" s="81">
        <v>19</v>
      </c>
      <c r="E316" s="81">
        <v>564</v>
      </c>
    </row>
    <row r="317" spans="1:5" x14ac:dyDescent="0.25">
      <c r="A317" s="81">
        <v>229</v>
      </c>
      <c r="B317" s="81" t="s">
        <v>4213</v>
      </c>
      <c r="C317" s="81"/>
      <c r="D317" s="81">
        <v>20</v>
      </c>
      <c r="E317" s="81">
        <v>511</v>
      </c>
    </row>
    <row r="318" spans="1:5" x14ac:dyDescent="0.25">
      <c r="A318" s="3"/>
      <c r="B318" s="81" t="s">
        <v>4302</v>
      </c>
      <c r="C318" s="3"/>
      <c r="D318" s="81">
        <v>20</v>
      </c>
      <c r="E318" s="81">
        <v>142</v>
      </c>
    </row>
    <row r="319" spans="1:5" x14ac:dyDescent="0.25">
      <c r="A319" s="81">
        <v>131</v>
      </c>
      <c r="B319" s="81">
        <v>32210</v>
      </c>
      <c r="C319" s="81"/>
      <c r="D319" s="81">
        <v>18</v>
      </c>
      <c r="E319" s="81">
        <v>1203</v>
      </c>
    </row>
    <row r="320" spans="1:5" x14ac:dyDescent="0.25">
      <c r="A320" s="81">
        <v>39</v>
      </c>
      <c r="B320" s="81" t="s">
        <v>4124</v>
      </c>
      <c r="C320" s="81"/>
      <c r="D320" s="81">
        <v>20</v>
      </c>
      <c r="E320" s="81">
        <v>163</v>
      </c>
    </row>
    <row r="321" spans="1:6" x14ac:dyDescent="0.25">
      <c r="A321" s="3"/>
      <c r="B321" s="81" t="s">
        <v>4615</v>
      </c>
      <c r="C321" s="3"/>
      <c r="D321" s="81">
        <v>20</v>
      </c>
      <c r="E321" s="81">
        <v>367</v>
      </c>
    </row>
    <row r="322" spans="1:6" x14ac:dyDescent="0.25">
      <c r="A322" s="81"/>
      <c r="B322" s="81" t="s">
        <v>4420</v>
      </c>
      <c r="C322" s="81"/>
      <c r="D322" s="81">
        <v>23</v>
      </c>
      <c r="E322" s="81">
        <v>1425</v>
      </c>
    </row>
    <row r="323" spans="1:6" x14ac:dyDescent="0.25">
      <c r="A323" s="81">
        <v>142</v>
      </c>
      <c r="B323" s="81">
        <v>30205</v>
      </c>
      <c r="C323" s="81"/>
      <c r="D323" s="81">
        <v>23</v>
      </c>
      <c r="E323" s="81">
        <v>468</v>
      </c>
    </row>
    <row r="324" spans="1:6" x14ac:dyDescent="0.25">
      <c r="A324" s="81">
        <v>4</v>
      </c>
      <c r="B324" s="81" t="s">
        <v>4020</v>
      </c>
      <c r="C324" s="81"/>
      <c r="D324" s="81">
        <v>26</v>
      </c>
      <c r="E324" s="81">
        <v>1004</v>
      </c>
    </row>
    <row r="325" spans="1:6" x14ac:dyDescent="0.25">
      <c r="A325" s="81">
        <v>186</v>
      </c>
      <c r="B325" s="81" t="s">
        <v>4066</v>
      </c>
      <c r="C325" s="81"/>
      <c r="D325" s="81">
        <v>27</v>
      </c>
      <c r="E325" s="81">
        <v>1492</v>
      </c>
    </row>
    <row r="326" spans="1:6" x14ac:dyDescent="0.25">
      <c r="A326" s="81">
        <v>193</v>
      </c>
      <c r="B326" s="81" t="s">
        <v>4077</v>
      </c>
      <c r="C326" s="81"/>
      <c r="D326" s="81">
        <v>27</v>
      </c>
      <c r="E326" s="81">
        <v>960</v>
      </c>
    </row>
    <row r="327" spans="1:6" x14ac:dyDescent="0.25">
      <c r="A327" s="81">
        <v>209</v>
      </c>
      <c r="B327" s="81" t="s">
        <v>4129</v>
      </c>
      <c r="C327" s="81"/>
      <c r="D327" s="81">
        <v>27</v>
      </c>
      <c r="E327" s="81">
        <v>455</v>
      </c>
    </row>
    <row r="328" spans="1:6" x14ac:dyDescent="0.25">
      <c r="A328" s="81">
        <v>242</v>
      </c>
      <c r="B328" s="81" t="s">
        <v>4440</v>
      </c>
      <c r="C328" s="3"/>
      <c r="D328" s="81">
        <v>28</v>
      </c>
      <c r="E328" s="81">
        <v>306</v>
      </c>
    </row>
    <row r="329" spans="1:6" x14ac:dyDescent="0.25">
      <c r="A329" s="81">
        <v>118</v>
      </c>
      <c r="B329" s="81">
        <v>6312</v>
      </c>
      <c r="C329" s="81"/>
      <c r="D329" s="81">
        <v>28</v>
      </c>
      <c r="E329" s="81">
        <v>2438</v>
      </c>
    </row>
    <row r="330" spans="1:6" x14ac:dyDescent="0.25">
      <c r="A330" s="81">
        <v>252</v>
      </c>
      <c r="B330" s="81" t="s">
        <v>4262</v>
      </c>
      <c r="C330" s="3"/>
      <c r="D330" s="81">
        <v>28</v>
      </c>
      <c r="E330" s="81">
        <v>864</v>
      </c>
    </row>
    <row r="331" spans="1:6" x14ac:dyDescent="0.25">
      <c r="A331" s="81">
        <v>90</v>
      </c>
      <c r="B331" s="81" t="s">
        <v>4150</v>
      </c>
      <c r="C331" s="81"/>
      <c r="D331" s="81">
        <v>28</v>
      </c>
      <c r="E331" s="81">
        <v>316</v>
      </c>
    </row>
    <row r="332" spans="1:6" x14ac:dyDescent="0.25">
      <c r="A332" s="81">
        <v>15</v>
      </c>
      <c r="B332" s="81" t="s">
        <v>4125</v>
      </c>
      <c r="C332" s="81"/>
      <c r="D332" s="81">
        <v>30</v>
      </c>
      <c r="E332" s="81">
        <v>196</v>
      </c>
    </row>
    <row r="333" spans="1:6" x14ac:dyDescent="0.25">
      <c r="A333" s="81">
        <v>190</v>
      </c>
      <c r="B333" s="81" t="s">
        <v>4072</v>
      </c>
      <c r="C333" s="81"/>
      <c r="D333" s="81">
        <v>30</v>
      </c>
      <c r="E333" s="81" t="s">
        <v>4592</v>
      </c>
    </row>
    <row r="334" spans="1:6" x14ac:dyDescent="0.25">
      <c r="A334" s="81">
        <v>56</v>
      </c>
      <c r="B334" s="81">
        <v>6208</v>
      </c>
      <c r="C334" s="81"/>
      <c r="D334" s="81">
        <v>31</v>
      </c>
      <c r="E334" s="81">
        <v>602</v>
      </c>
    </row>
    <row r="335" spans="1:6" x14ac:dyDescent="0.25">
      <c r="A335" s="81">
        <v>38</v>
      </c>
      <c r="B335" s="81">
        <v>6203</v>
      </c>
      <c r="C335" s="81"/>
      <c r="D335" s="81">
        <v>31</v>
      </c>
      <c r="E335" s="81">
        <v>138</v>
      </c>
      <c r="F335" s="81" t="s">
        <v>4160</v>
      </c>
    </row>
    <row r="336" spans="1:6" x14ac:dyDescent="0.25">
      <c r="A336" s="81"/>
      <c r="B336" s="81" t="s">
        <v>4516</v>
      </c>
      <c r="C336" s="3"/>
      <c r="D336" s="81">
        <v>32</v>
      </c>
      <c r="E336" s="81">
        <v>180</v>
      </c>
    </row>
    <row r="337" spans="1:5" x14ac:dyDescent="0.25">
      <c r="A337" s="81">
        <v>63</v>
      </c>
      <c r="B337" s="81" t="s">
        <v>4074</v>
      </c>
      <c r="C337" s="81"/>
      <c r="D337" s="81">
        <v>32</v>
      </c>
      <c r="E337" s="81">
        <v>791</v>
      </c>
    </row>
    <row r="338" spans="1:5" x14ac:dyDescent="0.25">
      <c r="A338" s="81">
        <v>201</v>
      </c>
      <c r="B338" s="81" t="s">
        <v>4088</v>
      </c>
      <c r="C338" s="81"/>
      <c r="D338" s="81">
        <v>32</v>
      </c>
      <c r="E338" s="81" t="s">
        <v>4114</v>
      </c>
    </row>
    <row r="339" spans="1:5" x14ac:dyDescent="0.25">
      <c r="A339" s="81"/>
      <c r="B339" s="81" t="s">
        <v>4419</v>
      </c>
      <c r="C339" s="3"/>
      <c r="D339" s="81">
        <v>32</v>
      </c>
      <c r="E339" s="81">
        <v>97</v>
      </c>
    </row>
    <row r="340" spans="1:5" x14ac:dyDescent="0.25">
      <c r="A340" s="3"/>
      <c r="B340" s="81" t="s">
        <v>4443</v>
      </c>
      <c r="C340" s="3"/>
      <c r="D340" s="81">
        <v>28</v>
      </c>
      <c r="E340" s="81">
        <v>752</v>
      </c>
    </row>
    <row r="341" spans="1:5" x14ac:dyDescent="0.25">
      <c r="A341" s="81"/>
      <c r="B341" s="81">
        <v>6004</v>
      </c>
      <c r="C341" s="3"/>
      <c r="D341" s="81">
        <v>33</v>
      </c>
      <c r="E341" s="81">
        <v>182</v>
      </c>
    </row>
    <row r="342" spans="1:5" x14ac:dyDescent="0.25">
      <c r="A342" s="81">
        <v>239</v>
      </c>
      <c r="B342" s="81" t="s">
        <v>4232</v>
      </c>
      <c r="C342" s="3"/>
      <c r="D342" s="81">
        <v>34</v>
      </c>
      <c r="E342" s="81" t="s">
        <v>4623</v>
      </c>
    </row>
    <row r="343" spans="1:5" x14ac:dyDescent="0.25">
      <c r="A343" s="81">
        <v>198</v>
      </c>
      <c r="B343" s="81" t="s">
        <v>4082</v>
      </c>
      <c r="C343" s="81">
        <v>25877</v>
      </c>
      <c r="D343" s="81">
        <v>35</v>
      </c>
      <c r="E343" s="81">
        <v>902</v>
      </c>
    </row>
    <row r="344" spans="1:5" x14ac:dyDescent="0.25">
      <c r="A344" s="81">
        <v>23</v>
      </c>
      <c r="B344" s="81">
        <v>6007</v>
      </c>
      <c r="C344" s="3"/>
      <c r="D344" s="81">
        <v>35</v>
      </c>
      <c r="E344" s="81">
        <v>320</v>
      </c>
    </row>
    <row r="345" spans="1:5" x14ac:dyDescent="0.25">
      <c r="A345" s="81">
        <v>12</v>
      </c>
      <c r="B345" s="81" t="s">
        <v>4139</v>
      </c>
      <c r="C345" s="81"/>
      <c r="D345" s="81">
        <v>35</v>
      </c>
      <c r="E345" s="81">
        <v>143</v>
      </c>
    </row>
    <row r="346" spans="1:5" x14ac:dyDescent="0.25">
      <c r="A346" s="81">
        <v>212</v>
      </c>
      <c r="B346" s="81" t="s">
        <v>4134</v>
      </c>
      <c r="C346" s="81"/>
      <c r="D346" s="81">
        <v>36</v>
      </c>
      <c r="E346" s="81">
        <v>728</v>
      </c>
    </row>
    <row r="347" spans="1:5" x14ac:dyDescent="0.25">
      <c r="A347" s="81">
        <v>37</v>
      </c>
      <c r="B347" s="81" t="s">
        <v>4029</v>
      </c>
      <c r="C347" s="81"/>
      <c r="D347" s="81">
        <v>26</v>
      </c>
      <c r="E347" s="81">
        <v>183</v>
      </c>
    </row>
    <row r="348" spans="1:5" x14ac:dyDescent="0.25">
      <c r="A348" s="81">
        <v>45</v>
      </c>
      <c r="B348" s="81" t="s">
        <v>4133</v>
      </c>
      <c r="C348" s="81"/>
      <c r="D348" s="81">
        <v>38</v>
      </c>
      <c r="E348" s="81">
        <v>361</v>
      </c>
    </row>
    <row r="349" spans="1:5" x14ac:dyDescent="0.25">
      <c r="A349" s="81">
        <v>97</v>
      </c>
      <c r="B349" s="81" t="s">
        <v>4091</v>
      </c>
      <c r="C349" s="81"/>
      <c r="D349" s="81">
        <v>41</v>
      </c>
      <c r="E349" s="81">
        <v>592</v>
      </c>
    </row>
    <row r="350" spans="1:5" x14ac:dyDescent="0.25">
      <c r="A350" s="81">
        <v>51</v>
      </c>
      <c r="B350" s="81" t="s">
        <v>4018</v>
      </c>
      <c r="C350" s="81"/>
      <c r="D350" s="81">
        <v>38</v>
      </c>
      <c r="E350" s="81">
        <v>623</v>
      </c>
    </row>
    <row r="351" spans="1:5" x14ac:dyDescent="0.25">
      <c r="A351" s="81">
        <v>165</v>
      </c>
      <c r="B351" s="81" t="s">
        <v>4051</v>
      </c>
      <c r="C351" s="81"/>
      <c r="D351" s="81">
        <v>45</v>
      </c>
      <c r="E351" s="81">
        <v>568</v>
      </c>
    </row>
    <row r="352" spans="1:5" x14ac:dyDescent="0.25">
      <c r="A352" s="81">
        <v>11</v>
      </c>
      <c r="B352" s="81" t="s">
        <v>4137</v>
      </c>
      <c r="C352" s="81"/>
      <c r="D352" s="81">
        <v>46</v>
      </c>
      <c r="E352" s="81" t="s">
        <v>4138</v>
      </c>
    </row>
    <row r="353" spans="1:7" x14ac:dyDescent="0.25">
      <c r="A353" s="81">
        <v>48</v>
      </c>
      <c r="B353" s="81" t="s">
        <v>4148</v>
      </c>
      <c r="C353" s="81"/>
      <c r="D353" s="81">
        <v>46</v>
      </c>
      <c r="E353" s="81">
        <v>466</v>
      </c>
    </row>
    <row r="354" spans="1:7" x14ac:dyDescent="0.25">
      <c r="A354" s="81">
        <v>189</v>
      </c>
      <c r="B354" s="81" t="s">
        <v>4071</v>
      </c>
      <c r="C354" s="81"/>
      <c r="D354" s="81">
        <v>47</v>
      </c>
      <c r="E354" s="81">
        <v>460</v>
      </c>
    </row>
    <row r="355" spans="1:7" x14ac:dyDescent="0.25">
      <c r="A355" s="81">
        <v>86</v>
      </c>
      <c r="B355" s="81" t="s">
        <v>4070</v>
      </c>
      <c r="C355" s="81"/>
      <c r="D355" s="81">
        <v>43</v>
      </c>
      <c r="E355" s="81">
        <v>353</v>
      </c>
    </row>
    <row r="356" spans="1:7" x14ac:dyDescent="0.25">
      <c r="A356" s="81">
        <v>53</v>
      </c>
      <c r="B356" s="81" t="s">
        <v>4136</v>
      </c>
      <c r="C356" s="81"/>
      <c r="D356" s="81">
        <v>48</v>
      </c>
      <c r="E356" s="81">
        <v>583</v>
      </c>
    </row>
    <row r="357" spans="1:7" x14ac:dyDescent="0.25">
      <c r="A357" s="81"/>
      <c r="B357" s="81" t="s">
        <v>4417</v>
      </c>
      <c r="C357" s="81"/>
      <c r="D357" s="81">
        <v>48</v>
      </c>
      <c r="E357" s="81">
        <v>95</v>
      </c>
      <c r="G357" s="3"/>
    </row>
    <row r="358" spans="1:7" x14ac:dyDescent="0.25">
      <c r="A358" s="81">
        <v>236</v>
      </c>
      <c r="B358" s="81" t="s">
        <v>4229</v>
      </c>
      <c r="C358" s="84"/>
      <c r="D358" s="81">
        <v>49</v>
      </c>
      <c r="E358" s="81">
        <v>1075</v>
      </c>
    </row>
    <row r="359" spans="1:7" x14ac:dyDescent="0.25">
      <c r="A359" s="81">
        <v>21</v>
      </c>
      <c r="B359" s="81" t="s">
        <v>4251</v>
      </c>
      <c r="C359" s="3"/>
      <c r="D359" s="81">
        <v>50</v>
      </c>
      <c r="E359" s="81">
        <v>205</v>
      </c>
    </row>
    <row r="360" spans="1:7" x14ac:dyDescent="0.25">
      <c r="A360" s="81">
        <v>14</v>
      </c>
      <c r="B360" s="81" t="s">
        <v>4140</v>
      </c>
      <c r="C360" s="81"/>
      <c r="D360" s="81">
        <v>52</v>
      </c>
      <c r="E360" s="81">
        <v>214</v>
      </c>
    </row>
    <row r="361" spans="1:7" x14ac:dyDescent="0.25">
      <c r="A361" s="81"/>
      <c r="B361" s="81" t="s">
        <v>4377</v>
      </c>
      <c r="C361" s="81"/>
      <c r="D361" s="81">
        <v>53</v>
      </c>
      <c r="E361" s="81">
        <v>121</v>
      </c>
    </row>
    <row r="362" spans="1:7" x14ac:dyDescent="0.25">
      <c r="A362" s="81">
        <v>231</v>
      </c>
      <c r="B362" s="81" t="s">
        <v>4215</v>
      </c>
      <c r="C362" s="81"/>
      <c r="D362" s="81">
        <v>57</v>
      </c>
      <c r="E362" s="81">
        <v>399</v>
      </c>
    </row>
    <row r="363" spans="1:7" x14ac:dyDescent="0.25">
      <c r="A363" s="81">
        <v>220</v>
      </c>
      <c r="B363" s="81" t="s">
        <v>4231</v>
      </c>
      <c r="C363" s="81"/>
      <c r="D363" s="81">
        <v>63</v>
      </c>
      <c r="E363" s="81">
        <v>301</v>
      </c>
      <c r="G363" s="3"/>
    </row>
    <row r="364" spans="1:7" x14ac:dyDescent="0.25">
      <c r="A364" s="81">
        <v>30</v>
      </c>
      <c r="B364" s="81" t="s">
        <v>4178</v>
      </c>
      <c r="C364" s="81"/>
      <c r="D364" s="81">
        <v>64</v>
      </c>
      <c r="E364" s="81">
        <v>139</v>
      </c>
    </row>
    <row r="365" spans="1:7" x14ac:dyDescent="0.25">
      <c r="A365" s="81">
        <v>240</v>
      </c>
      <c r="B365" s="81" t="s">
        <v>4233</v>
      </c>
      <c r="C365" s="3"/>
      <c r="D365" s="81">
        <v>69</v>
      </c>
      <c r="E365" s="81">
        <v>256</v>
      </c>
    </row>
    <row r="366" spans="1:7" x14ac:dyDescent="0.25">
      <c r="A366" s="81">
        <v>247</v>
      </c>
      <c r="B366" s="81">
        <v>6905</v>
      </c>
      <c r="C366" s="3"/>
      <c r="D366" s="81">
        <v>69</v>
      </c>
      <c r="E366" s="81">
        <v>301</v>
      </c>
    </row>
    <row r="367" spans="1:7" x14ac:dyDescent="0.25">
      <c r="A367" s="81">
        <v>87</v>
      </c>
      <c r="B367" s="81" t="s">
        <v>4183</v>
      </c>
      <c r="C367" s="84"/>
      <c r="D367" s="81">
        <v>71</v>
      </c>
      <c r="E367" s="81">
        <v>327</v>
      </c>
    </row>
    <row r="368" spans="1:7" x14ac:dyDescent="0.25">
      <c r="A368" s="81">
        <v>147</v>
      </c>
      <c r="B368" s="81">
        <v>30209</v>
      </c>
      <c r="C368" s="81"/>
      <c r="D368" s="81">
        <v>73</v>
      </c>
      <c r="E368" s="81">
        <v>742</v>
      </c>
    </row>
    <row r="369" spans="1:7" x14ac:dyDescent="0.25">
      <c r="A369" s="81">
        <v>166</v>
      </c>
      <c r="B369" s="81" t="s">
        <v>4052</v>
      </c>
      <c r="C369" s="81">
        <v>24780</v>
      </c>
      <c r="D369" s="81">
        <v>75</v>
      </c>
      <c r="E369" s="81">
        <v>909</v>
      </c>
    </row>
    <row r="370" spans="1:7" x14ac:dyDescent="0.25">
      <c r="A370" s="81">
        <v>211</v>
      </c>
      <c r="B370" s="81" t="s">
        <v>4145</v>
      </c>
      <c r="C370" s="81"/>
      <c r="D370" s="81">
        <v>77</v>
      </c>
      <c r="E370" s="81">
        <v>505</v>
      </c>
    </row>
    <row r="371" spans="1:7" x14ac:dyDescent="0.25">
      <c r="A371" s="3"/>
      <c r="B371" s="81" t="s">
        <v>4365</v>
      </c>
      <c r="C371" s="3"/>
      <c r="D371" s="81">
        <v>78</v>
      </c>
      <c r="E371" s="81">
        <v>1000</v>
      </c>
    </row>
    <row r="372" spans="1:7" x14ac:dyDescent="0.25">
      <c r="A372" s="81">
        <v>197</v>
      </c>
      <c r="B372" s="81" t="s">
        <v>4166</v>
      </c>
      <c r="C372" s="81" t="s">
        <v>4167</v>
      </c>
      <c r="D372" s="81">
        <v>80</v>
      </c>
      <c r="E372" s="81">
        <v>755</v>
      </c>
    </row>
    <row r="373" spans="1:7" x14ac:dyDescent="0.25">
      <c r="A373" s="81">
        <v>13</v>
      </c>
      <c r="B373" s="81">
        <v>6001</v>
      </c>
      <c r="C373" s="3"/>
      <c r="D373" s="81">
        <v>82</v>
      </c>
      <c r="E373" s="81">
        <v>132</v>
      </c>
    </row>
    <row r="374" spans="1:7" x14ac:dyDescent="0.25">
      <c r="A374" s="81"/>
      <c r="B374" s="81" t="s">
        <v>4418</v>
      </c>
      <c r="C374" s="81"/>
      <c r="D374" s="81">
        <v>85</v>
      </c>
      <c r="E374" s="81">
        <v>114</v>
      </c>
    </row>
    <row r="375" spans="1:7" x14ac:dyDescent="0.25">
      <c r="A375" s="81">
        <v>18</v>
      </c>
      <c r="B375" s="81" t="s">
        <v>4248</v>
      </c>
      <c r="C375" s="3"/>
      <c r="D375" s="81">
        <v>88</v>
      </c>
      <c r="E375" s="81">
        <v>285</v>
      </c>
    </row>
    <row r="376" spans="1:7" x14ac:dyDescent="0.25">
      <c r="A376" s="3"/>
      <c r="B376" s="81" t="s">
        <v>4522</v>
      </c>
      <c r="C376" s="3"/>
      <c r="D376" s="81">
        <v>94</v>
      </c>
      <c r="E376" s="81" t="s">
        <v>4523</v>
      </c>
    </row>
    <row r="377" spans="1:7" x14ac:dyDescent="0.25">
      <c r="A377" s="81"/>
      <c r="B377" s="81" t="s">
        <v>4482</v>
      </c>
      <c r="C377" s="84"/>
      <c r="D377" s="81">
        <v>94</v>
      </c>
      <c r="E377" s="81">
        <v>193</v>
      </c>
    </row>
    <row r="378" spans="1:7" x14ac:dyDescent="0.25">
      <c r="A378" s="81">
        <v>95</v>
      </c>
      <c r="B378" s="81" t="s">
        <v>4521</v>
      </c>
      <c r="D378" s="81">
        <v>96</v>
      </c>
      <c r="E378" s="81" t="s">
        <v>4235</v>
      </c>
      <c r="F378" s="81" t="s">
        <v>4236</v>
      </c>
    </row>
    <row r="379" spans="1:7" x14ac:dyDescent="0.25">
      <c r="A379" s="81">
        <v>177</v>
      </c>
      <c r="B379" s="81" t="s">
        <v>4068</v>
      </c>
      <c r="C379" s="81"/>
      <c r="D379" s="81">
        <v>98</v>
      </c>
      <c r="E379" s="81">
        <v>1090</v>
      </c>
    </row>
    <row r="380" spans="1:7" x14ac:dyDescent="0.25">
      <c r="A380" s="3"/>
      <c r="B380" s="81" t="s">
        <v>4297</v>
      </c>
      <c r="C380" s="3"/>
      <c r="D380" s="81">
        <v>100</v>
      </c>
      <c r="E380" s="81">
        <v>131</v>
      </c>
    </row>
    <row r="381" spans="1:7" x14ac:dyDescent="0.25">
      <c r="A381" s="81">
        <v>164</v>
      </c>
      <c r="B381" s="81" t="s">
        <v>4050</v>
      </c>
      <c r="C381" s="81"/>
      <c r="D381" s="81">
        <v>109</v>
      </c>
      <c r="E381" s="81">
        <v>562</v>
      </c>
    </row>
    <row r="382" spans="1:7" x14ac:dyDescent="0.25">
      <c r="A382" s="81">
        <v>250</v>
      </c>
      <c r="B382" s="81" t="s">
        <v>4261</v>
      </c>
      <c r="C382" s="3"/>
      <c r="D382" s="81">
        <v>118</v>
      </c>
      <c r="E382" s="81">
        <v>121</v>
      </c>
    </row>
    <row r="383" spans="1:7" x14ac:dyDescent="0.25">
      <c r="A383" s="81">
        <v>35</v>
      </c>
      <c r="B383" s="81">
        <v>6202</v>
      </c>
      <c r="C383" s="81"/>
      <c r="D383" s="81">
        <v>138</v>
      </c>
      <c r="E383" s="81">
        <v>105</v>
      </c>
      <c r="F383" s="81" t="s">
        <v>4160</v>
      </c>
      <c r="G383" s="3"/>
    </row>
    <row r="384" spans="1:7" x14ac:dyDescent="0.25">
      <c r="A384" s="81">
        <v>20</v>
      </c>
      <c r="B384" s="81" t="s">
        <v>4246</v>
      </c>
      <c r="C384" s="3"/>
      <c r="D384" s="81">
        <v>140</v>
      </c>
      <c r="E384" s="81">
        <v>189</v>
      </c>
    </row>
    <row r="385" spans="1:7" x14ac:dyDescent="0.25">
      <c r="A385" s="81">
        <v>22</v>
      </c>
      <c r="B385" s="81" t="s">
        <v>4230</v>
      </c>
      <c r="D385" s="81">
        <v>148</v>
      </c>
      <c r="E385" s="81">
        <v>314</v>
      </c>
    </row>
    <row r="386" spans="1:7" x14ac:dyDescent="0.25">
      <c r="A386" s="81">
        <v>43</v>
      </c>
      <c r="B386" s="81" t="s">
        <v>4263</v>
      </c>
      <c r="C386" s="3"/>
      <c r="D386" s="81">
        <v>143</v>
      </c>
      <c r="E386" s="81">
        <v>293</v>
      </c>
    </row>
    <row r="387" spans="1:7" x14ac:dyDescent="0.25">
      <c r="A387" s="81">
        <v>34</v>
      </c>
      <c r="B387" s="81" t="s">
        <v>4031</v>
      </c>
      <c r="C387" s="81"/>
      <c r="D387" s="81">
        <v>150</v>
      </c>
      <c r="E387" s="81">
        <v>138</v>
      </c>
    </row>
    <row r="388" spans="1:7" x14ac:dyDescent="0.25">
      <c r="A388" s="81">
        <v>82</v>
      </c>
      <c r="B388" s="81">
        <v>6300</v>
      </c>
      <c r="C388" s="84"/>
      <c r="D388" s="81">
        <v>155</v>
      </c>
      <c r="E388" s="81">
        <v>193</v>
      </c>
    </row>
    <row r="389" spans="1:7" x14ac:dyDescent="0.25">
      <c r="A389" s="81">
        <v>44</v>
      </c>
      <c r="B389" s="81">
        <v>6205</v>
      </c>
      <c r="C389" s="81"/>
      <c r="D389" s="81">
        <v>165</v>
      </c>
      <c r="E389" s="81" t="s">
        <v>4130</v>
      </c>
      <c r="F389" s="3" t="s">
        <v>4160</v>
      </c>
      <c r="G389" s="81" t="s">
        <v>4131</v>
      </c>
    </row>
    <row r="390" spans="1:7" x14ac:dyDescent="0.25">
      <c r="A390" s="81">
        <v>235</v>
      </c>
      <c r="B390" s="81" t="s">
        <v>4223</v>
      </c>
      <c r="C390" s="84"/>
      <c r="D390" s="81">
        <v>170</v>
      </c>
      <c r="E390" s="81" t="s">
        <v>4224</v>
      </c>
    </row>
    <row r="391" spans="1:7" x14ac:dyDescent="0.25">
      <c r="A391" s="81">
        <v>40</v>
      </c>
      <c r="B391" s="81">
        <v>6204</v>
      </c>
      <c r="C391" s="81"/>
      <c r="D391" s="81">
        <v>192</v>
      </c>
      <c r="E391" s="81" t="s">
        <v>4222</v>
      </c>
    </row>
    <row r="392" spans="1:7" x14ac:dyDescent="0.25">
      <c r="A392" s="81"/>
      <c r="B392" s="81" t="s">
        <v>4299</v>
      </c>
      <c r="D392" s="81">
        <v>200</v>
      </c>
      <c r="E392" s="81">
        <v>230</v>
      </c>
    </row>
    <row r="393" spans="1:7" x14ac:dyDescent="0.25">
      <c r="A393" s="81">
        <v>16</v>
      </c>
      <c r="B393" s="81" t="s">
        <v>4172</v>
      </c>
      <c r="C393" s="81"/>
      <c r="D393" s="81">
        <v>210</v>
      </c>
      <c r="E393" s="81">
        <v>218</v>
      </c>
    </row>
    <row r="394" spans="1:7" x14ac:dyDescent="0.25">
      <c r="A394" s="81">
        <v>29</v>
      </c>
      <c r="B394" s="81">
        <v>6201</v>
      </c>
      <c r="C394" s="81"/>
      <c r="D394" s="81">
        <v>234</v>
      </c>
      <c r="E394" s="81">
        <v>100</v>
      </c>
      <c r="F394" s="81" t="s">
        <v>4160</v>
      </c>
    </row>
    <row r="395" spans="1:7" x14ac:dyDescent="0.25">
      <c r="A395" s="81"/>
      <c r="B395" s="81" t="s">
        <v>4296</v>
      </c>
      <c r="D395" s="81">
        <v>242</v>
      </c>
      <c r="E395" s="81">
        <v>137</v>
      </c>
    </row>
    <row r="396" spans="1:7" x14ac:dyDescent="0.25">
      <c r="A396" s="81">
        <v>89</v>
      </c>
      <c r="B396" s="81">
        <v>6304</v>
      </c>
      <c r="C396" s="81"/>
      <c r="D396" s="81">
        <v>250</v>
      </c>
      <c r="E396" s="81" t="s">
        <v>4142</v>
      </c>
      <c r="F396" s="81" t="s">
        <v>4355</v>
      </c>
      <c r="G396" t="s">
        <v>4160</v>
      </c>
    </row>
    <row r="397" spans="1:7" x14ac:dyDescent="0.25">
      <c r="A397" s="81">
        <v>84</v>
      </c>
      <c r="B397" s="81" t="s">
        <v>4225</v>
      </c>
      <c r="C397" s="84"/>
      <c r="D397" s="81">
        <v>384</v>
      </c>
      <c r="E397" s="81" t="s">
        <v>4226</v>
      </c>
      <c r="F397" s="81" t="s">
        <v>4160</v>
      </c>
    </row>
  </sheetData>
  <autoFilter ref="A1:G1" xr:uid="{00000000-0009-0000-0000-000019000000}">
    <sortState xmlns:xlrd2="http://schemas.microsoft.com/office/spreadsheetml/2017/richdata2" ref="A2:G397">
      <sortCondition ref="D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2"/>
  <sheetViews>
    <sheetView topLeftCell="A10" workbookViewId="0">
      <selection activeCell="B14" sqref="B14"/>
    </sheetView>
  </sheetViews>
  <sheetFormatPr defaultRowHeight="15" x14ac:dyDescent="0.25"/>
  <cols>
    <col min="2" max="2" width="17.7109375" customWidth="1"/>
    <col min="4" max="4" width="16.28515625" customWidth="1"/>
  </cols>
  <sheetData>
    <row r="1" spans="1:4" x14ac:dyDescent="0.25">
      <c r="A1" s="3" t="s">
        <v>592</v>
      </c>
      <c r="B1" s="3" t="s">
        <v>4152</v>
      </c>
      <c r="C1" s="3" t="s">
        <v>594</v>
      </c>
      <c r="D1" s="3" t="s">
        <v>595</v>
      </c>
    </row>
    <row r="2" spans="1:4" x14ac:dyDescent="0.25">
      <c r="A2">
        <v>1</v>
      </c>
      <c r="B2" s="3" t="s">
        <v>4153</v>
      </c>
      <c r="C2">
        <v>20</v>
      </c>
      <c r="D2">
        <v>1240</v>
      </c>
    </row>
    <row r="3" spans="1:4" x14ac:dyDescent="0.25">
      <c r="B3" s="3" t="s">
        <v>4154</v>
      </c>
      <c r="C3">
        <v>22</v>
      </c>
      <c r="D3">
        <v>830</v>
      </c>
    </row>
    <row r="4" spans="1:4" x14ac:dyDescent="0.25">
      <c r="B4" s="3" t="s">
        <v>4155</v>
      </c>
      <c r="C4">
        <v>97</v>
      </c>
      <c r="D4">
        <v>428</v>
      </c>
    </row>
    <row r="5" spans="1:4" x14ac:dyDescent="0.25">
      <c r="B5" s="3" t="s">
        <v>4156</v>
      </c>
      <c r="C5">
        <v>215</v>
      </c>
      <c r="D5">
        <v>225</v>
      </c>
    </row>
    <row r="6" spans="1:4" x14ac:dyDescent="0.25">
      <c r="B6" s="3" t="s">
        <v>4159</v>
      </c>
      <c r="C6">
        <v>15</v>
      </c>
      <c r="D6">
        <v>2050</v>
      </c>
    </row>
    <row r="7" spans="1:4" x14ac:dyDescent="0.25">
      <c r="B7" s="3" t="s">
        <v>4204</v>
      </c>
      <c r="C7">
        <v>1</v>
      </c>
      <c r="D7">
        <v>7100</v>
      </c>
    </row>
    <row r="8" spans="1:4" x14ac:dyDescent="0.25">
      <c r="B8" s="3" t="s">
        <v>4342</v>
      </c>
      <c r="C8">
        <v>4</v>
      </c>
      <c r="D8">
        <v>2807</v>
      </c>
    </row>
    <row r="9" spans="1:4" x14ac:dyDescent="0.25">
      <c r="B9" s="3" t="s">
        <v>4343</v>
      </c>
      <c r="C9">
        <v>210</v>
      </c>
      <c r="D9">
        <v>90</v>
      </c>
    </row>
    <row r="10" spans="1:4" x14ac:dyDescent="0.25">
      <c r="B10" s="3" t="s">
        <v>4344</v>
      </c>
      <c r="C10">
        <v>230</v>
      </c>
      <c r="D10">
        <v>48</v>
      </c>
    </row>
    <row r="14" spans="1:4" x14ac:dyDescent="0.25">
      <c r="B14" s="3" t="s">
        <v>4525</v>
      </c>
      <c r="C14">
        <v>0</v>
      </c>
      <c r="D14">
        <v>2010</v>
      </c>
    </row>
    <row r="15" spans="1:4" x14ac:dyDescent="0.25">
      <c r="B15" s="3" t="s">
        <v>4534</v>
      </c>
      <c r="C15">
        <v>0</v>
      </c>
    </row>
    <row r="16" spans="1:4" x14ac:dyDescent="0.25">
      <c r="B16" s="3" t="s">
        <v>4536</v>
      </c>
      <c r="C16">
        <v>3</v>
      </c>
      <c r="D16">
        <v>460</v>
      </c>
    </row>
    <row r="17" spans="2:4" x14ac:dyDescent="0.25">
      <c r="B17" s="3" t="s">
        <v>4560</v>
      </c>
      <c r="C17">
        <v>12</v>
      </c>
      <c r="D17">
        <v>1690</v>
      </c>
    </row>
    <row r="18" spans="2:4" x14ac:dyDescent="0.25">
      <c r="B18" s="3" t="s">
        <v>4561</v>
      </c>
      <c r="C18">
        <v>20</v>
      </c>
    </row>
    <row r="19" spans="2:4" x14ac:dyDescent="0.25">
      <c r="B19" s="3" t="s">
        <v>4583</v>
      </c>
      <c r="C19">
        <v>6</v>
      </c>
      <c r="D19">
        <v>1310</v>
      </c>
    </row>
    <row r="20" spans="2:4" x14ac:dyDescent="0.25">
      <c r="B20" s="3" t="s">
        <v>4584</v>
      </c>
      <c r="C20">
        <v>6</v>
      </c>
      <c r="D20">
        <v>1280</v>
      </c>
    </row>
    <row r="21" spans="2:4" x14ac:dyDescent="0.25">
      <c r="B21" s="3" t="s">
        <v>4637</v>
      </c>
      <c r="C21">
        <v>40</v>
      </c>
      <c r="D21">
        <v>380</v>
      </c>
    </row>
    <row r="22" spans="2:4" x14ac:dyDescent="0.25">
      <c r="B22" s="3" t="s">
        <v>4638</v>
      </c>
      <c r="C22">
        <v>40</v>
      </c>
      <c r="D22">
        <v>430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9"/>
  <sheetViews>
    <sheetView workbookViewId="0">
      <selection activeCell="D4" sqref="D4"/>
    </sheetView>
  </sheetViews>
  <sheetFormatPr defaultRowHeight="15" x14ac:dyDescent="0.2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 x14ac:dyDescent="0.25">
      <c r="A1" s="85" t="s">
        <v>4017</v>
      </c>
      <c r="B1" s="85" t="s">
        <v>449</v>
      </c>
      <c r="C1" s="85" t="s">
        <v>1310</v>
      </c>
      <c r="D1" s="85" t="s">
        <v>1312</v>
      </c>
      <c r="E1" s="85" t="s">
        <v>61</v>
      </c>
    </row>
    <row r="2" spans="1:5" x14ac:dyDescent="0.25">
      <c r="B2" s="3" t="s">
        <v>4345</v>
      </c>
      <c r="D2">
        <v>8</v>
      </c>
      <c r="E2">
        <v>263</v>
      </c>
    </row>
    <row r="3" spans="1:5" x14ac:dyDescent="0.25">
      <c r="B3" s="3" t="s">
        <v>4346</v>
      </c>
      <c r="D3">
        <v>6</v>
      </c>
      <c r="E3">
        <v>283</v>
      </c>
    </row>
    <row r="4" spans="1:5" x14ac:dyDescent="0.25">
      <c r="B4" s="3" t="s">
        <v>4347</v>
      </c>
      <c r="D4" s="3">
        <v>11</v>
      </c>
      <c r="E4">
        <v>336</v>
      </c>
    </row>
    <row r="5" spans="1:5" x14ac:dyDescent="0.25">
      <c r="B5" s="3" t="s">
        <v>4348</v>
      </c>
      <c r="D5" s="3">
        <v>0</v>
      </c>
      <c r="E5">
        <v>212</v>
      </c>
    </row>
    <row r="6" spans="1:5" x14ac:dyDescent="0.25">
      <c r="B6" s="3" t="s">
        <v>4349</v>
      </c>
      <c r="D6" s="3">
        <v>0</v>
      </c>
      <c r="E6">
        <v>226</v>
      </c>
    </row>
    <row r="7" spans="1:5" x14ac:dyDescent="0.25">
      <c r="B7" s="3" t="s">
        <v>4350</v>
      </c>
      <c r="D7" s="3">
        <v>10</v>
      </c>
      <c r="E7">
        <v>275</v>
      </c>
    </row>
    <row r="8" spans="1:5" x14ac:dyDescent="0.25">
      <c r="B8" s="3" t="s">
        <v>4351</v>
      </c>
      <c r="D8">
        <v>0</v>
      </c>
      <c r="E8">
        <v>415</v>
      </c>
    </row>
    <row r="9" spans="1:5" x14ac:dyDescent="0.25">
      <c r="B9" s="3" t="s">
        <v>4434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2025-06-28T09:45:45Z</cp:lastPrinted>
  <dcterms:created xsi:type="dcterms:W3CDTF">2017-08-02T14:01:37Z</dcterms:created>
  <dcterms:modified xsi:type="dcterms:W3CDTF">2026-01-19T10:51:59Z</dcterms:modified>
</cp:coreProperties>
</file>